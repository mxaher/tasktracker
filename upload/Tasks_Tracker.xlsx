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arshadgroup-my.sharepoint.com/personal/m_zaher_almarshad_com/Documents/Strategy/Files/"/>
    </mc:Choice>
  </mc:AlternateContent>
  <xr:revisionPtr revIDLastSave="162" documentId="8_{5A6B764C-D709-4CA3-9FEE-03AA5F1F09A5}" xr6:coauthVersionLast="47" xr6:coauthVersionMax="47" xr10:uidLastSave="{2AC66038-8377-4F10-8815-2DAED907DEFB}"/>
  <bookViews>
    <workbookView xWindow="-108" yWindow="-108" windowWidth="23256" windowHeight="13896" tabRatio="500" activeTab="1" xr2:uid="{00000000-000D-0000-FFFF-FFFF00000000}"/>
  </bookViews>
  <sheets>
    <sheet name="قاعدة بيانات المهام" sheetId="1" r:id="rId1"/>
    <sheet name="المهام النشطة 2026" sheetId="2" r:id="rId2"/>
    <sheet name="لوحة أداء الأقسام" sheetId="3" r:id="rId3"/>
    <sheet name="دليل الاستخدام" sheetId="4" state="hidden" r:id="rId4"/>
  </sheets>
  <definedNames>
    <definedName name="_xlnm._FilterDatabase" localSheetId="1" hidden="1">'المهام النشطة 2026'!$A$2:$P$97</definedName>
    <definedName name="_xlnm._FilterDatabase" localSheetId="0" hidden="1">'قاعدة بيانات المهام'!$A$2:$P$416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05" i="2" l="1"/>
  <c r="K105" i="2"/>
  <c r="L104" i="2"/>
  <c r="K104" i="2"/>
  <c r="L102" i="2" l="1"/>
  <c r="L103" i="2"/>
  <c r="K100" i="2"/>
  <c r="K101" i="2"/>
  <c r="K102" i="2"/>
  <c r="K103" i="2"/>
  <c r="L101" i="2"/>
  <c r="L100" i="2"/>
  <c r="L99" i="2"/>
  <c r="K99" i="2"/>
  <c r="L98" i="2" l="1"/>
  <c r="L97" i="2"/>
  <c r="J97" i="2"/>
  <c r="K97" i="2"/>
  <c r="L417" i="1"/>
  <c r="K417" i="1"/>
  <c r="K98" i="2" l="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I18" i="3"/>
  <c r="H18" i="3"/>
  <c r="G18" i="3"/>
  <c r="D18" i="3"/>
  <c r="C18" i="3"/>
  <c r="B18" i="3"/>
  <c r="I17" i="3"/>
  <c r="H17" i="3"/>
  <c r="G17" i="3"/>
  <c r="D17" i="3"/>
  <c r="C17" i="3"/>
  <c r="B17" i="3"/>
  <c r="I16" i="3"/>
  <c r="H16" i="3"/>
  <c r="G16" i="3"/>
  <c r="D16" i="3"/>
  <c r="C16" i="3"/>
  <c r="B16" i="3"/>
  <c r="I15" i="3"/>
  <c r="H15" i="3"/>
  <c r="G15" i="3"/>
  <c r="D15" i="3"/>
  <c r="C15" i="3"/>
  <c r="B15" i="3"/>
  <c r="I14" i="3"/>
  <c r="H14" i="3"/>
  <c r="G14" i="3"/>
  <c r="D14" i="3"/>
  <c r="C14" i="3"/>
  <c r="B14" i="3"/>
  <c r="I13" i="3"/>
  <c r="H13" i="3"/>
  <c r="G13" i="3"/>
  <c r="D13" i="3"/>
  <c r="C13" i="3"/>
  <c r="B13" i="3"/>
  <c r="I12" i="3"/>
  <c r="H12" i="3"/>
  <c r="G12" i="3"/>
  <c r="D12" i="3"/>
  <c r="C12" i="3"/>
  <c r="B12" i="3"/>
  <c r="I11" i="3"/>
  <c r="H11" i="3"/>
  <c r="G11" i="3"/>
  <c r="D11" i="3"/>
  <c r="C11" i="3"/>
  <c r="B11" i="3"/>
  <c r="I10" i="3"/>
  <c r="H10" i="3"/>
  <c r="G10" i="3"/>
  <c r="D10" i="3"/>
  <c r="C10" i="3"/>
  <c r="B10" i="3"/>
  <c r="I9" i="3"/>
  <c r="H9" i="3"/>
  <c r="G9" i="3"/>
  <c r="D9" i="3"/>
  <c r="C9" i="3"/>
  <c r="B9" i="3"/>
  <c r="I8" i="3"/>
  <c r="H8" i="3"/>
  <c r="G8" i="3"/>
  <c r="D8" i="3"/>
  <c r="C8" i="3"/>
  <c r="B8" i="3"/>
  <c r="I7" i="3"/>
  <c r="H7" i="3"/>
  <c r="G7" i="3"/>
  <c r="D7" i="3"/>
  <c r="C7" i="3"/>
  <c r="B7" i="3"/>
  <c r="I6" i="3"/>
  <c r="H6" i="3"/>
  <c r="G6" i="3"/>
  <c r="D6" i="3"/>
  <c r="C6" i="3"/>
  <c r="B6" i="3"/>
  <c r="I5" i="3"/>
  <c r="H5" i="3"/>
  <c r="G5" i="3"/>
  <c r="D5" i="3"/>
  <c r="C5" i="3"/>
  <c r="B5" i="3"/>
  <c r="I4" i="3"/>
  <c r="H4" i="3"/>
  <c r="G4" i="3"/>
  <c r="D4" i="3"/>
  <c r="C4" i="3"/>
  <c r="B4" i="3"/>
  <c r="I3" i="3"/>
  <c r="H3" i="3"/>
  <c r="G3" i="3"/>
  <c r="D3" i="3"/>
  <c r="C3" i="3"/>
  <c r="B3" i="3"/>
  <c r="E3" i="3"/>
  <c r="E5" i="3"/>
  <c r="E6" i="3"/>
  <c r="E7" i="3"/>
  <c r="E8" i="3"/>
  <c r="E9" i="3"/>
  <c r="E10" i="3"/>
  <c r="E11" i="3"/>
  <c r="E12" i="3"/>
  <c r="E13" i="3"/>
  <c r="E14" i="3"/>
  <c r="E15" i="3"/>
  <c r="E16" i="3"/>
  <c r="E17" i="3"/>
  <c r="E18" i="3"/>
  <c r="E4" i="3"/>
  <c r="F16" i="3"/>
  <c r="J16" i="3" s="1"/>
  <c r="K74" i="2"/>
  <c r="L96" i="2"/>
  <c r="K96" i="2"/>
  <c r="L95" i="2"/>
  <c r="K95" i="2"/>
  <c r="L94" i="2"/>
  <c r="K94" i="2"/>
  <c r="L93" i="2"/>
  <c r="K93" i="2"/>
  <c r="L92" i="2"/>
  <c r="K92" i="2"/>
  <c r="L91" i="2"/>
  <c r="K91" i="2"/>
  <c r="L90" i="2"/>
  <c r="K90" i="2"/>
  <c r="L89" i="2"/>
  <c r="K89" i="2"/>
  <c r="L88" i="2"/>
  <c r="K88" i="2"/>
  <c r="L87" i="2"/>
  <c r="K87" i="2"/>
  <c r="L86" i="2"/>
  <c r="K86" i="2"/>
  <c r="L85" i="2"/>
  <c r="K85" i="2"/>
  <c r="L84" i="2"/>
  <c r="K84" i="2"/>
  <c r="L83" i="2"/>
  <c r="K83" i="2"/>
  <c r="L82" i="2"/>
  <c r="K82" i="2"/>
  <c r="L81" i="2"/>
  <c r="K81" i="2"/>
  <c r="L80" i="2"/>
  <c r="K80" i="2"/>
  <c r="L79" i="2"/>
  <c r="K79" i="2"/>
  <c r="L78" i="2"/>
  <c r="K78" i="2"/>
  <c r="L77" i="2"/>
  <c r="K77" i="2"/>
  <c r="L76" i="2"/>
  <c r="K76" i="2"/>
  <c r="L75" i="2"/>
  <c r="K75" i="2"/>
  <c r="L74" i="2"/>
  <c r="L73" i="2"/>
  <c r="K73" i="2"/>
  <c r="L72" i="2"/>
  <c r="K72" i="2"/>
  <c r="L71" i="2"/>
  <c r="K71" i="2"/>
  <c r="L70" i="2"/>
  <c r="K70" i="2"/>
  <c r="L69" i="2"/>
  <c r="K69" i="2"/>
  <c r="L68" i="2"/>
  <c r="K68" i="2"/>
  <c r="L67" i="2"/>
  <c r="K67" i="2"/>
  <c r="L66" i="2"/>
  <c r="K66" i="2"/>
  <c r="L65" i="2"/>
  <c r="K65" i="2"/>
  <c r="L64" i="2"/>
  <c r="K64" i="2"/>
  <c r="L63" i="2"/>
  <c r="K63" i="2"/>
  <c r="L62" i="2"/>
  <c r="K62" i="2"/>
  <c r="L61" i="2"/>
  <c r="K61" i="2"/>
  <c r="L60" i="2"/>
  <c r="K60" i="2"/>
  <c r="L59" i="2"/>
  <c r="K59" i="2"/>
  <c r="L58" i="2"/>
  <c r="K58" i="2"/>
  <c r="L57" i="2"/>
  <c r="K57" i="2"/>
  <c r="L56" i="2"/>
  <c r="K56" i="2"/>
  <c r="L55" i="2"/>
  <c r="K55" i="2"/>
  <c r="L54" i="2"/>
  <c r="K54" i="2"/>
  <c r="L53" i="2"/>
  <c r="K53" i="2"/>
  <c r="L52" i="2"/>
  <c r="K52" i="2"/>
  <c r="L51" i="2"/>
  <c r="K51" i="2"/>
  <c r="L50" i="2"/>
  <c r="K50" i="2"/>
  <c r="L49" i="2"/>
  <c r="K49" i="2"/>
  <c r="L48" i="2"/>
  <c r="K48" i="2"/>
  <c r="L47" i="2"/>
  <c r="K47" i="2"/>
  <c r="L46" i="2"/>
  <c r="K46" i="2"/>
  <c r="L45" i="2"/>
  <c r="K45" i="2"/>
  <c r="L44" i="2"/>
  <c r="K44" i="2"/>
  <c r="L43" i="2"/>
  <c r="K43" i="2"/>
  <c r="L42" i="2"/>
  <c r="K42" i="2"/>
  <c r="L41" i="2"/>
  <c r="K41" i="2"/>
  <c r="L40" i="2"/>
  <c r="K40" i="2"/>
  <c r="L39" i="2"/>
  <c r="K39" i="2"/>
  <c r="L38" i="2"/>
  <c r="K38" i="2"/>
  <c r="L37" i="2"/>
  <c r="K37" i="2"/>
  <c r="L36" i="2"/>
  <c r="K36" i="2"/>
  <c r="L35" i="2"/>
  <c r="K35" i="2"/>
  <c r="L34" i="2"/>
  <c r="K34" i="2"/>
  <c r="L33" i="2"/>
  <c r="K33" i="2"/>
  <c r="L32" i="2"/>
  <c r="K32" i="2"/>
  <c r="L31" i="2"/>
  <c r="K31" i="2"/>
  <c r="L30" i="2"/>
  <c r="K30" i="2"/>
  <c r="L29" i="2"/>
  <c r="K29"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13" i="2"/>
  <c r="K13" i="2"/>
  <c r="L12" i="2"/>
  <c r="K12" i="2"/>
  <c r="L11" i="2"/>
  <c r="K11" i="2"/>
  <c r="L10" i="2"/>
  <c r="K10" i="2"/>
  <c r="L9" i="2"/>
  <c r="K9" i="2"/>
  <c r="L8" i="2"/>
  <c r="K8" i="2"/>
  <c r="L7" i="2"/>
  <c r="K7" i="2"/>
  <c r="L6" i="2"/>
  <c r="K6" i="2"/>
  <c r="L5" i="2"/>
  <c r="K5" i="2"/>
  <c r="L4" i="2"/>
  <c r="K4" i="2"/>
  <c r="L3" i="2"/>
  <c r="K3" i="2"/>
  <c r="L107" i="1"/>
  <c r="K107" i="1"/>
  <c r="L86" i="1"/>
  <c r="K86" i="1"/>
  <c r="L51" i="1"/>
  <c r="K51" i="1"/>
  <c r="L85" i="1"/>
  <c r="K85" i="1"/>
  <c r="L50" i="1"/>
  <c r="K50" i="1"/>
  <c r="L222" i="1"/>
  <c r="K222" i="1"/>
  <c r="L205" i="1"/>
  <c r="K205" i="1"/>
  <c r="L236" i="1"/>
  <c r="K236" i="1"/>
  <c r="L230" i="1"/>
  <c r="K230" i="1"/>
  <c r="L249" i="1"/>
  <c r="K249" i="1"/>
  <c r="L106" i="1"/>
  <c r="K106" i="1"/>
  <c r="L84" i="1"/>
  <c r="K84" i="1"/>
  <c r="L49" i="1"/>
  <c r="K49" i="1"/>
  <c r="L288" i="1"/>
  <c r="K288" i="1"/>
  <c r="L322" i="1"/>
  <c r="K322" i="1"/>
  <c r="L175" i="1"/>
  <c r="K175" i="1"/>
  <c r="L229" i="1"/>
  <c r="K229" i="1"/>
  <c r="L153" i="1"/>
  <c r="K153" i="1"/>
  <c r="L321" i="1"/>
  <c r="K321" i="1"/>
  <c r="L320" i="1"/>
  <c r="K320" i="1"/>
  <c r="L319" i="1"/>
  <c r="K319" i="1"/>
  <c r="L287" i="1"/>
  <c r="K287" i="1"/>
  <c r="L204" i="1"/>
  <c r="K204" i="1"/>
  <c r="L152" i="1"/>
  <c r="K152" i="1"/>
  <c r="L318" i="1"/>
  <c r="K318" i="1"/>
  <c r="L105" i="1"/>
  <c r="K105" i="1"/>
  <c r="L83" i="1"/>
  <c r="K83" i="1"/>
  <c r="L317" i="1"/>
  <c r="K317" i="1"/>
  <c r="L104" i="1"/>
  <c r="K104" i="1"/>
  <c r="L82" i="1"/>
  <c r="K82" i="1"/>
  <c r="L48" i="1"/>
  <c r="K48" i="1"/>
  <c r="L47" i="1"/>
  <c r="K47" i="1"/>
  <c r="L286" i="1"/>
  <c r="K286" i="1"/>
  <c r="L81" i="1"/>
  <c r="K81" i="1"/>
  <c r="L235" i="1"/>
  <c r="K235" i="1"/>
  <c r="L228" i="1"/>
  <c r="K228" i="1"/>
  <c r="L46" i="1"/>
  <c r="K46" i="1"/>
  <c r="L285" i="1"/>
  <c r="K285" i="1"/>
  <c r="L45" i="1"/>
  <c r="K45" i="1"/>
  <c r="L151" i="1"/>
  <c r="K151" i="1"/>
  <c r="L103" i="1"/>
  <c r="K103" i="1"/>
  <c r="L80" i="1"/>
  <c r="K80" i="1"/>
  <c r="L44" i="1"/>
  <c r="K44" i="1"/>
  <c r="L316" i="1"/>
  <c r="K316" i="1"/>
  <c r="L174" i="1"/>
  <c r="K174" i="1"/>
  <c r="L315" i="1"/>
  <c r="K315" i="1"/>
  <c r="L173" i="1"/>
  <c r="K173" i="1"/>
  <c r="L172" i="1"/>
  <c r="K172" i="1"/>
  <c r="L314" i="1"/>
  <c r="K314" i="1"/>
  <c r="L150" i="1"/>
  <c r="K150" i="1"/>
  <c r="L149" i="1"/>
  <c r="K149" i="1"/>
  <c r="L43" i="1"/>
  <c r="K43" i="1"/>
  <c r="L284" i="1"/>
  <c r="K284" i="1"/>
  <c r="L221" i="1"/>
  <c r="K221" i="1"/>
  <c r="L203" i="1"/>
  <c r="K203" i="1"/>
  <c r="L202" i="1"/>
  <c r="K202" i="1"/>
  <c r="L102" i="1"/>
  <c r="K102" i="1"/>
  <c r="L79" i="1"/>
  <c r="K79" i="1"/>
  <c r="L42" i="1"/>
  <c r="K42" i="1"/>
  <c r="L283" i="1"/>
  <c r="K283" i="1"/>
  <c r="L201" i="1"/>
  <c r="K201" i="1"/>
  <c r="L148" i="1"/>
  <c r="K148" i="1"/>
  <c r="L78" i="1"/>
  <c r="K78" i="1"/>
  <c r="L234" i="1"/>
  <c r="K234" i="1"/>
  <c r="L227" i="1"/>
  <c r="K227" i="1"/>
  <c r="L248" i="1"/>
  <c r="K248" i="1"/>
  <c r="L41" i="1"/>
  <c r="K41" i="1"/>
  <c r="L282" i="1"/>
  <c r="K282" i="1"/>
  <c r="L200" i="1"/>
  <c r="K200" i="1"/>
  <c r="L147" i="1"/>
  <c r="K147" i="1"/>
  <c r="L313" i="1"/>
  <c r="K313" i="1"/>
  <c r="L171" i="1"/>
  <c r="K171" i="1"/>
  <c r="L312" i="1"/>
  <c r="K312" i="1"/>
  <c r="L247" i="1"/>
  <c r="K247" i="1"/>
  <c r="L170" i="1"/>
  <c r="K170" i="1"/>
  <c r="L246" i="1"/>
  <c r="K246" i="1"/>
  <c r="L311" i="1"/>
  <c r="K311" i="1"/>
  <c r="L101" i="1"/>
  <c r="K101" i="1"/>
  <c r="L77" i="1"/>
  <c r="K77" i="1"/>
  <c r="L40" i="1"/>
  <c r="K40" i="1"/>
  <c r="L281" i="1"/>
  <c r="K281" i="1"/>
  <c r="L220" i="1"/>
  <c r="K220" i="1"/>
  <c r="L199" i="1"/>
  <c r="K199" i="1"/>
  <c r="L146" i="1"/>
  <c r="K146" i="1"/>
  <c r="L280" i="1"/>
  <c r="K280" i="1"/>
  <c r="L39" i="1"/>
  <c r="K39" i="1"/>
  <c r="L245" i="1"/>
  <c r="K245" i="1"/>
  <c r="L145" i="1"/>
  <c r="K145" i="1"/>
  <c r="L244" i="1"/>
  <c r="K244" i="1"/>
  <c r="L198" i="1"/>
  <c r="K198" i="1"/>
  <c r="L38" i="1"/>
  <c r="K38" i="1"/>
  <c r="L279" i="1"/>
  <c r="K279" i="1"/>
  <c r="L197" i="1"/>
  <c r="K197" i="1"/>
  <c r="L144" i="1"/>
  <c r="K144" i="1"/>
  <c r="L76" i="1"/>
  <c r="K76" i="1"/>
  <c r="L37" i="1"/>
  <c r="K37" i="1"/>
  <c r="L278" i="1"/>
  <c r="K278" i="1"/>
  <c r="L219" i="1"/>
  <c r="K219" i="1"/>
  <c r="L196" i="1"/>
  <c r="K196" i="1"/>
  <c r="L100" i="1"/>
  <c r="K100" i="1"/>
  <c r="L75" i="1"/>
  <c r="K75" i="1"/>
  <c r="L36" i="1"/>
  <c r="K36" i="1"/>
  <c r="L277" i="1"/>
  <c r="K277" i="1"/>
  <c r="L310" i="1"/>
  <c r="K310" i="1"/>
  <c r="L74" i="1"/>
  <c r="K74" i="1"/>
  <c r="L35" i="1"/>
  <c r="K35" i="1"/>
  <c r="L73" i="1"/>
  <c r="K73" i="1"/>
  <c r="L34" i="1"/>
  <c r="K34" i="1"/>
  <c r="L276" i="1"/>
  <c r="K276" i="1"/>
  <c r="L169" i="1"/>
  <c r="K169" i="1"/>
  <c r="L143" i="1"/>
  <c r="K143" i="1"/>
  <c r="L33" i="1"/>
  <c r="K33" i="1"/>
  <c r="L243" i="1"/>
  <c r="K243" i="1"/>
  <c r="L309" i="1"/>
  <c r="K309" i="1"/>
  <c r="L32" i="1"/>
  <c r="K32" i="1"/>
  <c r="L226" i="1"/>
  <c r="K226" i="1"/>
  <c r="L31" i="1"/>
  <c r="K31" i="1"/>
  <c r="L275" i="1"/>
  <c r="K275" i="1"/>
  <c r="L142" i="1"/>
  <c r="K142" i="1"/>
  <c r="L141" i="1"/>
  <c r="K141" i="1"/>
  <c r="L168" i="1"/>
  <c r="K168" i="1"/>
  <c r="L30" i="1"/>
  <c r="K30" i="1"/>
  <c r="L140" i="1"/>
  <c r="K140" i="1"/>
  <c r="L139" i="1"/>
  <c r="K139" i="1"/>
  <c r="L218" i="1"/>
  <c r="K218" i="1"/>
  <c r="L138" i="1"/>
  <c r="K138" i="1"/>
  <c r="L29" i="1"/>
  <c r="K29" i="1"/>
  <c r="L274" i="1"/>
  <c r="K274" i="1"/>
  <c r="L217" i="1"/>
  <c r="K217" i="1"/>
  <c r="L137" i="1"/>
  <c r="K137" i="1"/>
  <c r="L136" i="1"/>
  <c r="K136" i="1"/>
  <c r="L72" i="1"/>
  <c r="K72" i="1"/>
  <c r="L71" i="1"/>
  <c r="K71" i="1"/>
  <c r="L28" i="1"/>
  <c r="K28" i="1"/>
  <c r="L308" i="1"/>
  <c r="K308" i="1"/>
  <c r="L307" i="1"/>
  <c r="K307" i="1"/>
  <c r="L306" i="1"/>
  <c r="K306" i="1"/>
  <c r="L99" i="1"/>
  <c r="K99" i="1"/>
  <c r="L70" i="1"/>
  <c r="K70" i="1"/>
  <c r="L98" i="1"/>
  <c r="K98" i="1"/>
  <c r="L69" i="1"/>
  <c r="K69" i="1"/>
  <c r="L305" i="1"/>
  <c r="K305" i="1"/>
  <c r="L304" i="1"/>
  <c r="K304" i="1"/>
  <c r="L303" i="1"/>
  <c r="K303" i="1"/>
  <c r="L27" i="1"/>
  <c r="K27" i="1"/>
  <c r="L273" i="1"/>
  <c r="K273" i="1"/>
  <c r="L26" i="1"/>
  <c r="K26" i="1"/>
  <c r="L272" i="1"/>
  <c r="K272" i="1"/>
  <c r="L97" i="1"/>
  <c r="K97" i="1"/>
  <c r="L68" i="1"/>
  <c r="K68" i="1"/>
  <c r="L25" i="1"/>
  <c r="K25" i="1"/>
  <c r="L271" i="1"/>
  <c r="K271" i="1"/>
  <c r="L96" i="1"/>
  <c r="K96" i="1"/>
  <c r="L67" i="1"/>
  <c r="K67" i="1"/>
  <c r="L24" i="1"/>
  <c r="K24" i="1"/>
  <c r="L270" i="1"/>
  <c r="K270" i="1"/>
  <c r="L216" i="1"/>
  <c r="K216" i="1"/>
  <c r="L195" i="1"/>
  <c r="K195" i="1"/>
  <c r="L194" i="1"/>
  <c r="K194" i="1"/>
  <c r="L135" i="1"/>
  <c r="K135" i="1"/>
  <c r="L134" i="1"/>
  <c r="K134" i="1"/>
  <c r="L133" i="1"/>
  <c r="K133" i="1"/>
  <c r="L132" i="1"/>
  <c r="K132" i="1"/>
  <c r="L242" i="1"/>
  <c r="K242" i="1"/>
  <c r="L131" i="1"/>
  <c r="K131" i="1"/>
  <c r="L130" i="1"/>
  <c r="K130" i="1"/>
  <c r="L66" i="1"/>
  <c r="K66" i="1"/>
  <c r="L23" i="1"/>
  <c r="K23" i="1"/>
  <c r="L241" i="1"/>
  <c r="K241" i="1"/>
  <c r="L95" i="1"/>
  <c r="K95" i="1"/>
  <c r="L65" i="1"/>
  <c r="K65" i="1"/>
  <c r="L22" i="1"/>
  <c r="K22" i="1"/>
  <c r="L269" i="1"/>
  <c r="K269" i="1"/>
  <c r="L240" i="1"/>
  <c r="K240" i="1"/>
  <c r="L21" i="1"/>
  <c r="K21" i="1"/>
  <c r="L268" i="1"/>
  <c r="K268" i="1"/>
  <c r="L167" i="1"/>
  <c r="K167" i="1"/>
  <c r="L166" i="1"/>
  <c r="K166" i="1"/>
  <c r="L233" i="1"/>
  <c r="K233" i="1"/>
  <c r="L225" i="1"/>
  <c r="K225" i="1"/>
  <c r="L239" i="1"/>
  <c r="K239" i="1"/>
  <c r="L232" i="1"/>
  <c r="K232" i="1"/>
  <c r="L224" i="1"/>
  <c r="K224" i="1"/>
  <c r="L94" i="1"/>
  <c r="K94" i="1"/>
  <c r="L64" i="1"/>
  <c r="K64" i="1"/>
  <c r="L20" i="1"/>
  <c r="K20" i="1"/>
  <c r="L267" i="1"/>
  <c r="K267" i="1"/>
  <c r="L215" i="1"/>
  <c r="K215" i="1"/>
  <c r="L193" i="1"/>
  <c r="K193" i="1"/>
  <c r="L63" i="1"/>
  <c r="K63" i="1"/>
  <c r="L19" i="1"/>
  <c r="K19" i="1"/>
  <c r="L266" i="1"/>
  <c r="K266" i="1"/>
  <c r="L214" i="1"/>
  <c r="K214" i="1"/>
  <c r="L192" i="1"/>
  <c r="K192" i="1"/>
  <c r="L129" i="1"/>
  <c r="K129" i="1"/>
  <c r="L18" i="1"/>
  <c r="K18" i="1"/>
  <c r="L265" i="1"/>
  <c r="K265" i="1"/>
  <c r="L213" i="1"/>
  <c r="K213" i="1"/>
  <c r="L191" i="1"/>
  <c r="K191" i="1"/>
  <c r="L128" i="1"/>
  <c r="K128" i="1"/>
  <c r="L302" i="1"/>
  <c r="K302" i="1"/>
  <c r="L127" i="1"/>
  <c r="K127" i="1"/>
  <c r="L165" i="1"/>
  <c r="K165" i="1"/>
  <c r="L264" i="1"/>
  <c r="K264" i="1"/>
  <c r="L190" i="1"/>
  <c r="K190" i="1"/>
  <c r="L301" i="1"/>
  <c r="K301" i="1"/>
  <c r="L164" i="1"/>
  <c r="K164" i="1"/>
  <c r="L17" i="1"/>
  <c r="K17" i="1"/>
  <c r="L163" i="1"/>
  <c r="K163" i="1"/>
  <c r="L126" i="1"/>
  <c r="K126" i="1"/>
  <c r="L231" i="1"/>
  <c r="K231" i="1"/>
  <c r="L125" i="1"/>
  <c r="K125" i="1"/>
  <c r="L212" i="1"/>
  <c r="K212" i="1"/>
  <c r="L263" i="1"/>
  <c r="K263" i="1"/>
  <c r="L238" i="1"/>
  <c r="K238" i="1"/>
  <c r="L162" i="1"/>
  <c r="K162" i="1"/>
  <c r="L161" i="1"/>
  <c r="K161" i="1"/>
  <c r="L300" i="1"/>
  <c r="K300" i="1"/>
  <c r="L160" i="1"/>
  <c r="K160" i="1"/>
  <c r="L159" i="1"/>
  <c r="K159" i="1"/>
  <c r="L299" i="1"/>
  <c r="K299" i="1"/>
  <c r="L211" i="1"/>
  <c r="K211" i="1"/>
  <c r="L124" i="1"/>
  <c r="K124" i="1"/>
  <c r="L93" i="1"/>
  <c r="K93" i="1"/>
  <c r="L62" i="1"/>
  <c r="K62" i="1"/>
  <c r="L16" i="1"/>
  <c r="K16" i="1"/>
  <c r="L262" i="1"/>
  <c r="K262" i="1"/>
  <c r="L123" i="1"/>
  <c r="K123" i="1"/>
  <c r="L223" i="1"/>
  <c r="K223" i="1"/>
  <c r="L92" i="1"/>
  <c r="K92" i="1"/>
  <c r="L61" i="1"/>
  <c r="K61" i="1"/>
  <c r="L122" i="1"/>
  <c r="K122" i="1"/>
  <c r="L298" i="1"/>
  <c r="K298" i="1"/>
  <c r="L91" i="1"/>
  <c r="K91" i="1"/>
  <c r="L60" i="1"/>
  <c r="K60" i="1"/>
  <c r="L15" i="1"/>
  <c r="K15" i="1"/>
  <c r="L210" i="1"/>
  <c r="K210" i="1"/>
  <c r="L189" i="1"/>
  <c r="K189" i="1"/>
  <c r="L209" i="1"/>
  <c r="K209" i="1"/>
  <c r="L188" i="1"/>
  <c r="K188" i="1"/>
  <c r="L121" i="1"/>
  <c r="K121" i="1"/>
  <c r="L59" i="1"/>
  <c r="K59" i="1"/>
  <c r="L58" i="1"/>
  <c r="K58" i="1"/>
  <c r="L14" i="1"/>
  <c r="K14" i="1"/>
  <c r="L261" i="1"/>
  <c r="K261" i="1"/>
  <c r="L208" i="1"/>
  <c r="K208" i="1"/>
  <c r="L187" i="1"/>
  <c r="K187" i="1"/>
  <c r="L120" i="1"/>
  <c r="K120" i="1"/>
  <c r="L297" i="1"/>
  <c r="K297" i="1"/>
  <c r="L158" i="1"/>
  <c r="K158" i="1"/>
  <c r="L13" i="1"/>
  <c r="K13" i="1"/>
  <c r="L186" i="1"/>
  <c r="K186" i="1"/>
  <c r="L119" i="1"/>
  <c r="K119" i="1"/>
  <c r="L118" i="1"/>
  <c r="K118" i="1"/>
  <c r="L90" i="1"/>
  <c r="K90" i="1"/>
  <c r="L57" i="1"/>
  <c r="K57" i="1"/>
  <c r="L185" i="1"/>
  <c r="K185" i="1"/>
  <c r="L117" i="1"/>
  <c r="K117" i="1"/>
  <c r="L184" i="1"/>
  <c r="K184" i="1"/>
  <c r="L116" i="1"/>
  <c r="K116" i="1"/>
  <c r="L237" i="1"/>
  <c r="K237" i="1"/>
  <c r="L89" i="1"/>
  <c r="K89" i="1"/>
  <c r="L56" i="1"/>
  <c r="K56" i="1"/>
  <c r="L12" i="1"/>
  <c r="K12" i="1"/>
  <c r="L260" i="1"/>
  <c r="K260" i="1"/>
  <c r="L183" i="1"/>
  <c r="K183" i="1"/>
  <c r="L115" i="1"/>
  <c r="K115" i="1"/>
  <c r="L259" i="1"/>
  <c r="K259" i="1"/>
  <c r="L182" i="1"/>
  <c r="K182" i="1"/>
  <c r="L114" i="1"/>
  <c r="K114" i="1"/>
  <c r="L88" i="1"/>
  <c r="K88" i="1"/>
  <c r="L55" i="1"/>
  <c r="K55" i="1"/>
  <c r="L11" i="1"/>
  <c r="K11" i="1"/>
  <c r="L258" i="1"/>
  <c r="K258" i="1"/>
  <c r="L54" i="1"/>
  <c r="K54" i="1"/>
  <c r="L10" i="1"/>
  <c r="K10" i="1"/>
  <c r="L257" i="1"/>
  <c r="K257" i="1"/>
  <c r="L256" i="1"/>
  <c r="K256" i="1"/>
  <c r="L207" i="1"/>
  <c r="K207" i="1"/>
  <c r="L181" i="1"/>
  <c r="K181" i="1"/>
  <c r="L113" i="1"/>
  <c r="K113" i="1"/>
  <c r="L255" i="1"/>
  <c r="K255" i="1"/>
  <c r="L254" i="1"/>
  <c r="K254" i="1"/>
  <c r="L180" i="1"/>
  <c r="K180" i="1"/>
  <c r="L296" i="1"/>
  <c r="K296" i="1"/>
  <c r="L157" i="1"/>
  <c r="K157" i="1"/>
  <c r="L112" i="1"/>
  <c r="K112" i="1"/>
  <c r="L9" i="1"/>
  <c r="K9" i="1"/>
  <c r="L179" i="1"/>
  <c r="K179" i="1"/>
  <c r="L295" i="1"/>
  <c r="K295" i="1"/>
  <c r="L156" i="1"/>
  <c r="K156" i="1"/>
  <c r="L87" i="1"/>
  <c r="K87" i="1"/>
  <c r="L53" i="1"/>
  <c r="K53" i="1"/>
  <c r="L8" i="1"/>
  <c r="K8" i="1"/>
  <c r="L7" i="1"/>
  <c r="K7" i="1"/>
  <c r="L253" i="1"/>
  <c r="K253" i="1"/>
  <c r="L294" i="1"/>
  <c r="K294" i="1"/>
  <c r="L52" i="1"/>
  <c r="K52" i="1"/>
  <c r="L6" i="1"/>
  <c r="K6" i="1"/>
  <c r="L5" i="1"/>
  <c r="K5" i="1"/>
  <c r="L252" i="1"/>
  <c r="K252" i="1"/>
  <c r="L206" i="1"/>
  <c r="K206" i="1"/>
  <c r="L178" i="1"/>
  <c r="K178" i="1"/>
  <c r="L111" i="1"/>
  <c r="K111" i="1"/>
  <c r="L293" i="1"/>
  <c r="K293" i="1"/>
  <c r="L155" i="1"/>
  <c r="K155" i="1"/>
  <c r="L292" i="1"/>
  <c r="K292" i="1"/>
  <c r="L291" i="1"/>
  <c r="K291" i="1"/>
  <c r="L154" i="1"/>
  <c r="K154" i="1"/>
  <c r="L290" i="1"/>
  <c r="K290" i="1"/>
  <c r="L4" i="1"/>
  <c r="K4" i="1"/>
  <c r="L177" i="1"/>
  <c r="K177" i="1"/>
  <c r="L110" i="1"/>
  <c r="K110" i="1"/>
  <c r="L109" i="1"/>
  <c r="K109" i="1"/>
  <c r="L3" i="1"/>
  <c r="K3" i="1"/>
  <c r="L251" i="1"/>
  <c r="K251" i="1"/>
  <c r="L289" i="1"/>
  <c r="K289" i="1"/>
  <c r="L108" i="1"/>
  <c r="K108" i="1"/>
  <c r="L250" i="1"/>
  <c r="K250" i="1"/>
  <c r="L176" i="1"/>
  <c r="K176" i="1"/>
  <c r="F14" i="3" l="1"/>
  <c r="J14" i="3" s="1"/>
  <c r="F18" i="3"/>
  <c r="J18" i="3" s="1"/>
  <c r="F17" i="3"/>
  <c r="J17" i="3" s="1"/>
  <c r="F12" i="3"/>
  <c r="J12" i="3" s="1"/>
  <c r="I19" i="3"/>
  <c r="F13" i="3"/>
  <c r="J13" i="3" s="1"/>
  <c r="F8" i="3"/>
  <c r="J8" i="3" s="1"/>
  <c r="F6" i="3"/>
  <c r="J6" i="3" s="1"/>
  <c r="F5" i="3"/>
  <c r="J5" i="3" s="1"/>
  <c r="F9" i="3"/>
  <c r="J9" i="3" s="1"/>
  <c r="F11" i="3"/>
  <c r="J11" i="3" s="1"/>
  <c r="F15" i="3"/>
  <c r="J15" i="3" s="1"/>
  <c r="F4" i="3"/>
  <c r="J4" i="3" s="1"/>
  <c r="B19" i="3"/>
  <c r="D19" i="3"/>
  <c r="F7" i="3"/>
  <c r="J7" i="3" s="1"/>
  <c r="E19" i="3"/>
  <c r="C19" i="3"/>
  <c r="G19" i="3"/>
  <c r="H19" i="3"/>
  <c r="F3" i="3"/>
  <c r="J3" i="3" s="1"/>
  <c r="F10" i="3"/>
  <c r="J10" i="3" s="1"/>
  <c r="F19" i="3" l="1"/>
</calcChain>
</file>

<file path=xl/sharedStrings.xml><?xml version="1.0" encoding="utf-8"?>
<sst xmlns="http://schemas.openxmlformats.org/spreadsheetml/2006/main" count="3473" uniqueCount="898">
  <si>
    <t>قاعدة بيانات المهام – مركز التنفيذ الاستراتيجي</t>
  </si>
  <si>
    <t>#</t>
  </si>
  <si>
    <t>المهمة</t>
  </si>
  <si>
    <t>القسم</t>
  </si>
  <si>
    <t>الموظف</t>
  </si>
  <si>
    <t>الأولوية</t>
  </si>
  <si>
    <t>الركيزة الاستراتيجية</t>
  </si>
  <si>
    <t>الحالة</t>
  </si>
  <si>
    <t>نسبة الإنجاز</t>
  </si>
  <si>
    <t>تاريخ البداية</t>
  </si>
  <si>
    <t>تاريخ الانتهاء</t>
  </si>
  <si>
    <t>الأيام المتبقية</t>
  </si>
  <si>
    <t>مؤشر المخاطر</t>
  </si>
  <si>
    <t>الملاحظات</t>
  </si>
  <si>
    <t>الخطوة القادمة</t>
  </si>
  <si>
    <t>ملاحظات الرئيس التنفيذي</t>
  </si>
  <si>
    <t>الشهر المصدر</t>
  </si>
  <si>
    <t>أرض الغنامية</t>
  </si>
  <si>
    <t>تطوير الاعمال</t>
  </si>
  <si>
    <t>عبد الاله المرشد</t>
  </si>
  <si>
    <t>جاري العمل</t>
  </si>
  <si>
    <t>مراجعة إدارة السجن حول منع المستشار الهندسي من القيام باعماله</t>
  </si>
  <si>
    <t>June</t>
  </si>
  <si>
    <t>في انتظار قرار امن الدولة الشهر القادم</t>
  </si>
  <si>
    <t>August</t>
  </si>
  <si>
    <t>أسباب التوصية بشركة Stat</t>
  </si>
  <si>
    <t>الاستثمار</t>
  </si>
  <si>
    <t>معتصم العقاد</t>
  </si>
  <si>
    <t>مكتملة</t>
  </si>
  <si>
    <t>May</t>
  </si>
  <si>
    <t>إتمام داشبورد الموازنة</t>
  </si>
  <si>
    <t>المالية</t>
  </si>
  <si>
    <t>عادل جلال</t>
  </si>
  <si>
    <t>تم الانتهاء من جميع المتطلبات وتجهيز موديول الموازنة بالتقارير</t>
  </si>
  <si>
    <t>سيتم التأجيل بسبب تأخر إتمام المالية -(الضريبة - القيد)</t>
  </si>
  <si>
    <t>April 2025</t>
  </si>
  <si>
    <t>2026 Tasks</t>
  </si>
  <si>
    <t>إضافة القانونية في سلسلة موافقات إخلاء الطرف.</t>
  </si>
  <si>
    <t>الادارة القانونية</t>
  </si>
  <si>
    <t>منصور القعود</t>
  </si>
  <si>
    <t>مكتمله</t>
  </si>
  <si>
    <t>إضافة القضايا المرفوعة في القانونية إلى داشبورد أعمار الديون.</t>
  </si>
  <si>
    <t>التقنية</t>
  </si>
  <si>
    <t>مرتضى إبراهيم</t>
  </si>
  <si>
    <t>تم الانتهاء منها</t>
  </si>
  <si>
    <t>إضافة تاريخ انتهاء الوكالة وحالتها (منتهية - سارية)</t>
  </si>
  <si>
    <t>إضافة توقيع  الرئيس  في الغرفة التجارية</t>
  </si>
  <si>
    <t>حسين الوروري</t>
  </si>
  <si>
    <t>لم تبدأ</t>
  </si>
  <si>
    <t>تم إضافة التوقيع في 4 شركات</t>
  </si>
  <si>
    <t>الموارد البشرية</t>
  </si>
  <si>
    <t>باقي 3 تم انهاء 5</t>
  </si>
  <si>
    <t>وليد العتيبي</t>
  </si>
  <si>
    <t>September</t>
  </si>
  <si>
    <t>إضافة زيادة في عدد عمال النظافة الى 16 عامل ومعرفة الأثر</t>
  </si>
  <si>
    <t>المشاريع</t>
  </si>
  <si>
    <t>عوض الغوازي</t>
  </si>
  <si>
    <t>تمت المتابعة مع م عوض وفي انتظار الرد</t>
  </si>
  <si>
    <t>تمت زيادة 4 اشخاص</t>
  </si>
  <si>
    <t>إضافة قائمة أسعار الوحدات على موديول الموازنة بالنظام</t>
  </si>
  <si>
    <t>يتم ادخال أسعار الوحدات على الدينامكس في موديول الموازنة</t>
  </si>
  <si>
    <t>التفاصيل بايميل طه</t>
  </si>
  <si>
    <t>إعادة طرح السوبر ماركت بمشروع إشبيليا على عدد من الشركات المنافسة.</t>
  </si>
  <si>
    <t>الأصول العقارية</t>
  </si>
  <si>
    <t>محمد المطيري</t>
  </si>
  <si>
    <t>تم التذكير</t>
  </si>
  <si>
    <t>تم استلام التحديث</t>
  </si>
  <si>
    <t>اتفاقية بين الورثة بخصوص الصكوك باسم رئيس ونائب المجلس</t>
  </si>
  <si>
    <t>تم المتابعة وسيتم ارسالها اليوم 13/05</t>
  </si>
  <si>
    <t>اتفاقية تصميم المبنى</t>
  </si>
  <si>
    <t>اتفاقية رد مبالغ منصة ايجار</t>
  </si>
  <si>
    <t>تم التسليم للأصول العقارية</t>
  </si>
  <si>
    <t>اتفاقية فصل إيرادات شريط المرقب واسواق المرقب</t>
  </si>
  <si>
    <t>تم ارسال مسودة</t>
  </si>
  <si>
    <t>تم الارسال للأصول العقارية</t>
  </si>
  <si>
    <t>اثر التحول للمعايير IFRS</t>
  </si>
  <si>
    <t>محمد عبدالحميد</t>
  </si>
  <si>
    <t>تم الانتهاء</t>
  </si>
  <si>
    <t>تم استلام العرض التقديمي</t>
  </si>
  <si>
    <t>اثر اهلاك الاحساء</t>
  </si>
  <si>
    <t>يتم اضافته في تقرير المجلس للربع الأول</t>
  </si>
  <si>
    <t>March 2025</t>
  </si>
  <si>
    <t>تم ارسال ايميل للمدير المالي لتجهيز المطلوب قبل الاجتماعات القادمة</t>
  </si>
  <si>
    <t>اليوم</t>
  </si>
  <si>
    <t>اختبار الدينامكس والتأكيد على انه جاهز للاقفال الشهري</t>
  </si>
  <si>
    <t>بعد التعديلات الأخيرة (قيد التسوية - حل مشكلة الضريبة)</t>
  </si>
  <si>
    <t>لازال العمل جاري بسبب ملاحظات من الإدارة المالية</t>
  </si>
  <si>
    <t>جاهز لاقفال شهر مايو</t>
  </si>
  <si>
    <t>ادخال داتا الإدارة القانونية</t>
  </si>
  <si>
    <t>الادخال اليدوي للداتا القديمة ماقبل 2025</t>
  </si>
  <si>
    <t>تم تحديد موعد نهاية مايو والرد لتعديل الموعد لنهاية ابريل</t>
  </si>
  <si>
    <t>ادخال داتا الإدارة القانونية على الدينامكس</t>
  </si>
  <si>
    <t>تم ادخال داتا القانونية كاملة لكن تم رفض 70 مطالبة من المالية لعدم تطابق الرصيد</t>
  </si>
  <si>
    <t>تم التذكير يوم 28</t>
  </si>
  <si>
    <t>تم ادخال داتا القانونية كاملة لكن تم رفض 23 مطالبة من المالية لعدم تطابق الرصيد</t>
  </si>
  <si>
    <t>مكتمل</t>
  </si>
  <si>
    <t>ارسال التحصيل بشكل تفصيلي لمدراء العقارات</t>
  </si>
  <si>
    <t>الاستراتيجية</t>
  </si>
  <si>
    <t>محمد زاهر</t>
  </si>
  <si>
    <t>ارسال قائمة بالشركات المقترحة للتدقيق</t>
  </si>
  <si>
    <t>محمد خضر</t>
  </si>
  <si>
    <t>ارض الخزامى</t>
  </si>
  <si>
    <t>لتذكير الرئيس التنفيذي بالمتابعة مع عبد الاله المرشد</t>
  </si>
  <si>
    <t>July</t>
  </si>
  <si>
    <t>عروض أسعار من مكاتب التقييم لتقييم الأرض لغرض البيع</t>
  </si>
  <si>
    <t>تم ارسال العقود للرئيس للتوقيع</t>
  </si>
  <si>
    <t>الرئيس التنفيذي</t>
  </si>
  <si>
    <t>استراتيجية إدارة المرافق</t>
  </si>
  <si>
    <t>تم التعديل على ان نستمر بتقديم الخدمة للمستاجرين في عقارات المجموعة فقط</t>
  </si>
  <si>
    <t>استراتيجية الاستثمار</t>
  </si>
  <si>
    <t>تم ارسال المسودة للرئيس التنفيذي</t>
  </si>
  <si>
    <t>October</t>
  </si>
  <si>
    <t>استراتيجية الموارد البشرية</t>
  </si>
  <si>
    <t>رياض الزيد</t>
  </si>
  <si>
    <t>استكمال الملاحظات من اللجنة</t>
  </si>
  <si>
    <t>تم اعتماد الرئيس للرفع للجنة</t>
  </si>
  <si>
    <t>استشارة المراجع الخارجي في وجوب تقرير من مستشار مستقل بخصوص IFRS</t>
  </si>
  <si>
    <t>سوف يتم استشارة المراجع الخارجي في هذا الشأن وما إذا كان بحاجة الى شهادة من عدمه.</t>
  </si>
  <si>
    <t>لا يوجد متطلب في المعايير الدولية لتعيين مستشار مستقل</t>
  </si>
  <si>
    <t>المدير المالي - للتحديث</t>
  </si>
  <si>
    <t>استلام محلات وشقق سوق ينبع - توسعة المعاشق</t>
  </si>
  <si>
    <t>تعديل المواعيد</t>
  </si>
  <si>
    <t>تم استلام المبنى ومتبقى وصلة المياه</t>
  </si>
  <si>
    <t>جاري العمل مع المقاول على انهاء وصلة المياه</t>
  </si>
  <si>
    <t>محمد المهدي</t>
  </si>
  <si>
    <t>تم البدء في أعمال الحفر لتمديد ماسورة تغذية المبنى بالمياه قبل أسبوع  من قبل  أعمالنا للمقاولات</t>
  </si>
  <si>
    <t>تم عمل الحفر فقط واليوم لا يوجد عمالة بالموقع حسب كلام فني الصيانة بالموقع</t>
  </si>
  <si>
    <t>November</t>
  </si>
  <si>
    <t>اصدار رخصة ترميم للمبنى الجديد</t>
  </si>
  <si>
    <t>تم إلغاء الطلبات السابقة والتعاقد مباشرة مع لاستشاري بغرض نقل ملكية الرخصة</t>
  </si>
  <si>
    <t>تم تعميد الفاتورة</t>
  </si>
  <si>
    <t>اطلاق برنامج مصادقة ارصدة عملاء الأصول العقارية</t>
  </si>
  <si>
    <t>تم تجربة التطبيق بواسطة التقنية واعتماده من ناحيتهم باقي اعتماد الإدارة المالية عن</t>
  </si>
  <si>
    <t>اعتماد السياسات والإجراءات لتقنية المعلومات والامن السيبراني</t>
  </si>
  <si>
    <t>تم  ارسال اعتماد الاستشاري للرئيس التنفيذي</t>
  </si>
  <si>
    <t>اعتماد الرئيس</t>
  </si>
  <si>
    <t>تم الاعتماد</t>
  </si>
  <si>
    <t>اعداد دراسة المخاطر حسب طلب لجنة المراجعة</t>
  </si>
  <si>
    <t>تم استلام ردود من جميع الإدارات</t>
  </si>
  <si>
    <t>اغلاق السجل التجاري للتقنيه</t>
  </si>
  <si>
    <t>تم اعتماد الغرفة التجارة والارسال للقانونية</t>
  </si>
  <si>
    <t>تم تقديم طلب قرار التصفية</t>
  </si>
  <si>
    <t>متابعة يوم الاحد 20</t>
  </si>
  <si>
    <t>تم سداد رسوم طلب شطب السجل</t>
  </si>
  <si>
    <t>اغلاق تقرير EY الخاص بالتقنية</t>
  </si>
  <si>
    <t>جاري العمل مع فريق الامن السيبراني لاغلاق النقاط حسب الموعد المحدد</t>
  </si>
  <si>
    <t>جاري العمل على النقاط التي سيتم مراجعتها في اجتماع اللجنة القادم</t>
  </si>
  <si>
    <t>اغلاق ملاحظات المراجع الداخلي على الإدارة التنفيذية</t>
  </si>
  <si>
    <t>في انتظار استلام التقارير بعد انتهاء الربع الثاني</t>
  </si>
  <si>
    <t>افادة عن رسوم الاراضي لعقد اشبيلية</t>
  </si>
  <si>
    <t>تم الرد من الإدارة القانونية</t>
  </si>
  <si>
    <t>الصك مملوك لجهة حكومية وبالتالي لا ينطبق عليها نظام رسوم الأراضي البيضاء أما بخصوص الرسوم المفروضة على الأرض طبقا لعقد الإيجار فنفيدكم بأن العقد لم ينص على رسوم معينة وإنما تكلم عن الرسوم بشكل عام أي كان نوعها.</t>
  </si>
  <si>
    <t>اقفال حسابات البنك للشركات المغلقة</t>
  </si>
  <si>
    <t>تم الانتهاء من اقفال 15 حساب</t>
  </si>
  <si>
    <t>اقفال شهر 4</t>
  </si>
  <si>
    <t>تم الاستلام</t>
  </si>
  <si>
    <t>اقفال شهر فبراير</t>
  </si>
  <si>
    <t>اقفال شهر مارس</t>
  </si>
  <si>
    <t>التأخير بسبب الاجازة</t>
  </si>
  <si>
    <t>اقفال شهر مايو</t>
  </si>
  <si>
    <t>مستلم</t>
  </si>
  <si>
    <t>اقفال شهر يوليو 2025</t>
  </si>
  <si>
    <t>اقفال شهر يونيو 2025</t>
  </si>
  <si>
    <t>مستلم 13/07</t>
  </si>
  <si>
    <t>الأثر المالي للIFRS على اجمالي الموازنة ل 2024</t>
  </si>
  <si>
    <t>الأثر المالي للIFRS على الموازنة من 8/24 وحتى 12/24</t>
  </si>
  <si>
    <t>الإيرادات الأخرى في الأصول العقارية حتى نهاية الربع الثالث</t>
  </si>
  <si>
    <t>مكتمل وتم استلام التقرير</t>
  </si>
  <si>
    <t>الانتهاء من دراسة الأثر للتحول الكامل لمعاير المحاسبة الدولية</t>
  </si>
  <si>
    <t>الانتهاء يوم  13/06</t>
  </si>
  <si>
    <t>جاري العمل عليها</t>
  </si>
  <si>
    <t>تم الانتهاء من الأثر المالي والعرض على لجنة المراجعة وجاري اتخاذ إجراءات مع الاستشاري الخارجي</t>
  </si>
  <si>
    <t>الانتهاء من سياسات الإدارة القانونية</t>
  </si>
  <si>
    <t>الانتهاء من سياسات المقاولات</t>
  </si>
  <si>
    <t>علي حسن</t>
  </si>
  <si>
    <t>جاري العمل على المسودة</t>
  </si>
  <si>
    <t>المقاولات</t>
  </si>
  <si>
    <t>تم استلام مسودة وجاري العمل على تحسينها</t>
  </si>
  <si>
    <t>المدير التنفيذي للمقاولات - للتحديث</t>
  </si>
  <si>
    <t>on hold</t>
  </si>
  <si>
    <t>الانتهاء من ملاحظات دينامكس</t>
  </si>
  <si>
    <t>جاري العمل على الانتهاء منه 26/05- تم التأجيل ل30/5</t>
  </si>
  <si>
    <t>منتهي(اعمار الدين - التاريخ الهجري) - باقي الlayout</t>
  </si>
  <si>
    <t>تم الانتهاء من الملاحظات وانشاء مهام جديدة</t>
  </si>
  <si>
    <t>التأكيد على أن جميع خدمات القانونية تتم عن طريق الدينامكس بما فيها طلبات المساهمين.</t>
  </si>
  <si>
    <t>التأمين على الأصول العقارية</t>
  </si>
  <si>
    <t>محمد الحجي</t>
  </si>
  <si>
    <t>بعد الانتهاء من ملاحظات شركة التأمين</t>
  </si>
  <si>
    <t>تم الاجتماع مع استشاري لاصدار شهادات التركيبات ورخصة الدفاع 6-10شهور</t>
  </si>
  <si>
    <t>في انتظار رد التأمين على مقترح تفعيل الوثيقة خلال الفترة</t>
  </si>
  <si>
    <t>التأمين على الممتلكات</t>
  </si>
  <si>
    <t>قيد التنفيذ مع التعاونية</t>
  </si>
  <si>
    <t>تم ارسال شهادات انهاء التركيبات (المرقب - القرية - الاحساء)</t>
  </si>
  <si>
    <t>محمد الحجي - للمتابعة</t>
  </si>
  <si>
    <t>جاري تفعيل الوثيقة</t>
  </si>
  <si>
    <t>سوق المرقب - قرية الاحساء - القرية الشعبية بالرياض</t>
  </si>
  <si>
    <t>في انتظار اصدار البوليصة من التعاونية</t>
  </si>
  <si>
    <t>تم استلام الوثيقة</t>
  </si>
  <si>
    <t>December</t>
  </si>
  <si>
    <t>تم تجديد الوثيقة</t>
  </si>
  <si>
    <t>التأمين على بضاعة التجارة</t>
  </si>
  <si>
    <t>جاري العمل مع الوسيط</t>
  </si>
  <si>
    <t>تم ارسال العرض للمراجعة الداخلية</t>
  </si>
  <si>
    <t>تم اخذ الرد من امتياز ونوه لعدم وجود أرباح او خسائر بيع المخزون في الوثيقة وتم الرد على الوسيط لاضافة خسائر الأرباح من ضمن الوثيقة وفي انتظار الرد</t>
  </si>
  <si>
    <t>التأمين على خيانة الأمانة (التجارة - الأصول العقارية)</t>
  </si>
  <si>
    <t>تم طلب عروض أسعار من الوسيط - تم ارسال الخطاب المطلوب من الشركة</t>
  </si>
  <si>
    <t>التامين على العقيق</t>
  </si>
  <si>
    <t>تم تفويض المقاول على منصة بلدي</t>
  </si>
  <si>
    <t>التحقق من مشكلة تحويل قيمة العقد إلى ممثل الشركة في العقار</t>
  </si>
  <si>
    <t>التدقيق على صلاحيات المبيعات والمشتريات في التجارة</t>
  </si>
  <si>
    <t>المراجعة</t>
  </si>
  <si>
    <t>جاري العمل والتقرير يوم الاحد القادم</t>
  </si>
  <si>
    <t>امتياز بخش</t>
  </si>
  <si>
    <t>تم ارسال التقرير للرئيس التنفيذي</t>
  </si>
  <si>
    <t>التدقيق على مستخدمي الحسابات البنكية</t>
  </si>
  <si>
    <t>تم الانتهاء واستلام ملاحظات المراجع الداخلي</t>
  </si>
  <si>
    <t>التسجيل العيني للعقارات في هيئة العقار</t>
  </si>
  <si>
    <t>محمد بطران</t>
  </si>
  <si>
    <t>جاري العمل مع (المطيري - يوسف حامد - المشاريع) لاستلام النواقص (صكوك - رفع مساحي)</t>
  </si>
  <si>
    <t>التعاقد مع شركة لدراسة جدوى القطاع التجاري</t>
  </si>
  <si>
    <t>تم ارسال الملاحظات وفي انتظار الرد</t>
  </si>
  <si>
    <t>تم استلام البيانات من التجارة وفي انتظار التوقيع مع KPMG</t>
  </si>
  <si>
    <t>تم عقد اجتماع بتاريخ 24 يونيو بحضور الإدارة القانونية لمعالجة مشاكل بنود العقد وفي انتظار رد KPMG خلال يومين عمل حسب افادتهم</t>
  </si>
  <si>
    <t>التقنية العقارية</t>
  </si>
  <si>
    <t>أعاد المجلس دراسة قطاع التقنية العقارية (Prop-Tech) إلى الإدارة التنفيذية</t>
  </si>
  <si>
    <t>ووجه المجلس تشكيل لجنة متخصصة للاستثمار التقني</t>
  </si>
  <si>
    <t>التكلفة لمشروع تسعير خميس مشيط</t>
  </si>
  <si>
    <t>تم استلام عرض الاستشاري كومباس بمبلغ 541 مليون</t>
  </si>
  <si>
    <t>التمويلات القائمة والمتاحة</t>
  </si>
  <si>
    <t>الخزينة</t>
  </si>
  <si>
    <t>تم استلام</t>
  </si>
  <si>
    <t>التواصل مع منشآت</t>
  </si>
  <si>
    <t>تقديم تقرير عن البرامج المقدمة من منشآت</t>
  </si>
  <si>
    <t>الجدول الزمني لمسارات استراتيجية راس المال البشري</t>
  </si>
  <si>
    <t>ليلى السهلي</t>
  </si>
  <si>
    <t>لازال العمل تحت الدراسة وسيتم التحديد لاحقا</t>
  </si>
  <si>
    <t>سيتم التذكير قبل نهاية فبراير للتاكد من الالتزام بالمواعدي</t>
  </si>
  <si>
    <t>الخدمات القانونية على الدينامكس</t>
  </si>
  <si>
    <t>تم الانتهاء من معظم المتطلبات السابقة وعرضها على القانونية وتم طلب متطلبات جديدة</t>
  </si>
  <si>
    <t>الخطة التشغيلية عن القرية الشعبية</t>
  </si>
  <si>
    <t>محمد الخضيرة</t>
  </si>
  <si>
    <t>Operation Manual (branding manula)</t>
  </si>
  <si>
    <t>Operation Manual (branding manual)</t>
  </si>
  <si>
    <t>تم الارسال وتحت المراجعة</t>
  </si>
  <si>
    <t>الخطة التشغيلية للقرية الشعبية</t>
  </si>
  <si>
    <t>للعرض على درة اشبيلية مع الخضيرة</t>
  </si>
  <si>
    <t>الرد على ملاحظات المراجع الخارجي للامن السيبراني</t>
  </si>
  <si>
    <t>تم الرد وارسال التعليقات من التقنية</t>
  </si>
  <si>
    <t>التنقية</t>
  </si>
  <si>
    <t>السياسات والإجراءات للإدارة القانونية</t>
  </si>
  <si>
    <t>انجاز 32% (6 نقاط من 19) تم استلام مسودة بالنقاط</t>
  </si>
  <si>
    <t>الصندوق العقاري</t>
  </si>
  <si>
    <t>تم انهاء جميع متطلبات الصندوق من جهة المرشد ومتبقى مراجعة الاتفاقيات من طرف مدير الصندوق</t>
  </si>
  <si>
    <t>متبقي لدى مدير النصدوق ( مراجعة الاتفاقيات - التقرير فني لجميع الاراضي - الاحكام والشروط - اصدار السجل التجاري والحساب البنكي -توقيع اتفاقية الشراء مع مالكين الاراضي )</t>
  </si>
  <si>
    <t>اتفاقية التشغيل متابعة مع (القانونية- تطوير الاعمال - ستات)</t>
  </si>
  <si>
    <t>انهاء مستندات أرض جدة وارسالها للراجحي</t>
  </si>
  <si>
    <t>باقي تعديل اتفاقية التطوير - اتفاقية الايجار المنتهي بالتمليك</t>
  </si>
  <si>
    <t>الراجحي المالية</t>
  </si>
  <si>
    <t>متوقف حاليا</t>
  </si>
  <si>
    <t>جاري البحث عن بديل لارض خميس مشيط</t>
  </si>
  <si>
    <t>العرض التقديمي بروفايل المجموعة</t>
  </si>
  <si>
    <t>تحديث البروفايل للشركة</t>
  </si>
  <si>
    <t>تم الارسال للرئيس للاطلاع</t>
  </si>
  <si>
    <t>محمد الخطاف</t>
  </si>
  <si>
    <t>العروض المالية والفنية لتعيين محامي الصندوق</t>
  </si>
  <si>
    <t>الكهرباء في حفر الباطن</t>
  </si>
  <si>
    <t>تم تقديم خطاب للامانة وللكهرباء</t>
  </si>
  <si>
    <t>السيد الخياط</t>
  </si>
  <si>
    <t>تم استلام موافقة من الأمانة موجهه للكهرباء</t>
  </si>
  <si>
    <t>المؤشرات والاهداف لكل عقار</t>
  </si>
  <si>
    <t>January 2025</t>
  </si>
  <si>
    <t>Feb 2025</t>
  </si>
  <si>
    <t>المستند القانوني لتفويض مستخدمي البنوك</t>
  </si>
  <si>
    <t>المستشار المالي</t>
  </si>
  <si>
    <t>ايمن الخليفة</t>
  </si>
  <si>
    <t>تم الاعتماد من الإدارة القانونية في انتظار الطباعة والاعتماد النهائي من الرئيس</t>
  </si>
  <si>
    <t>المصادقة على رصيد الورثة والتجارة</t>
  </si>
  <si>
    <t>خالد عسيري</t>
  </si>
  <si>
    <t>جاري العمل على تسجيل بعض الفواتير الغير مسجلة</t>
  </si>
  <si>
    <t>المدير العام</t>
  </si>
  <si>
    <t>لايوجد تجاوب</t>
  </si>
  <si>
    <t>تم تسجيل فاتورة وباقي فاتورتين</t>
  </si>
  <si>
    <t>م. فراس للمناقشة مع الورثة لتسجيل الفواتير</t>
  </si>
  <si>
    <t>تم الطلب من الإدارة المالية لتسوية الامر</t>
  </si>
  <si>
    <t>النموذج المالي للتجارة (المبيعات - التحصيل - بيع المخزون)</t>
  </si>
  <si>
    <t>م/ فراس من التجارة - عادل جلال من المالية</t>
  </si>
  <si>
    <t>تم المناقشة مع الرئيس</t>
  </si>
  <si>
    <t>الهيكل التنظيمي الجديد لادارة الصيانة</t>
  </si>
  <si>
    <t>تمت المناقشة والاتفاق على هيكل محدد</t>
  </si>
  <si>
    <t>للمتابعة الاحد 13</t>
  </si>
  <si>
    <t>الوظائف المؤجلة</t>
  </si>
  <si>
    <t>15 وظيفة (2 مغلق - 11 مفتوح - 1 ملغي)</t>
  </si>
  <si>
    <t>انشاء الرقابة الثنائية لعملية صرف الرواتب</t>
  </si>
  <si>
    <t>تتم عن طريق المينا والتحقق بخطوتين قبل الصرف</t>
  </si>
  <si>
    <t>انشاء صندوق عقاري مع احد شركات التمويل</t>
  </si>
  <si>
    <t>استكشاف فرصة عمل صندوق لتمويل وتطوير سوق جديد</t>
  </si>
  <si>
    <t>لم يتم الرد</t>
  </si>
  <si>
    <t>انهاء برنامج الداينامكس لاعمالنا للمقاولات</t>
  </si>
  <si>
    <t>جاري العمل عل اعدادات المخزون وربطها بالمشاريع حيث تم الانتهاء من اعدادات الأصول والمالية</t>
  </si>
  <si>
    <t>انهاء برنامج الدينامكس لاعمالنا للنظافة</t>
  </si>
  <si>
    <t>31/03/205</t>
  </si>
  <si>
    <t>تم الانتهاء من جميع الاعدادات الخاصة بالمالية والمبيعات وجاري ادخال البيانات الفعلية من بداية عام 2025</t>
  </si>
  <si>
    <t>انهاء خدمات موظفي التجارة</t>
  </si>
  <si>
    <t>انهاء عقد مستشار الIFRS</t>
  </si>
  <si>
    <t>جاري عقد اجتماع مع المستشار بحضور الرئيس</t>
  </si>
  <si>
    <t>انهاء ملاحظات المراجع الداخلي على مستخدمي البنوك</t>
  </si>
  <si>
    <t>جاري العمل على إقرار استلام مستخدمين</t>
  </si>
  <si>
    <t>بإعداد دراسة استشارية بالتعاون مع شركات متخصصة في خدمات المواقف</t>
  </si>
  <si>
    <t>تم الاتفاق على جلب دراسة سعرية لتأجير المواقف</t>
  </si>
  <si>
    <t>بيع ارض العريجاء</t>
  </si>
  <si>
    <t>تقييم الأرض 3.7 مليون</t>
  </si>
  <si>
    <t>تم التوصية من المجلس بعدم البيع</t>
  </si>
  <si>
    <t>تجديد رخصة الدفاع المدني لمستودعات التجارة</t>
  </si>
  <si>
    <t>اشرف سمير</t>
  </si>
  <si>
    <t>تم تجديد الرخصة وارسالها لشركة التأمين</t>
  </si>
  <si>
    <t>تجديد رخصة بناء اشبيلية</t>
  </si>
  <si>
    <t>تجهيز تقرير اللجنة التنفيذية</t>
  </si>
  <si>
    <t>تم الارسال</t>
  </si>
  <si>
    <t>تحديث خطاب الإدارة - تقرير الإدارة</t>
  </si>
  <si>
    <t>تم الاعتمام من الرئيس وفي مرحلة المراجع الخارجي</t>
  </si>
  <si>
    <t>تحديث موازنة التحصيل</t>
  </si>
  <si>
    <t>نقل العجز للشهر التالي - تم الاتفاق على اليه العمل وسيتم ارسالها مع تحصيل شهر مارس</t>
  </si>
  <si>
    <t>سيتم العمل بها من بداية الشهر القادم</t>
  </si>
  <si>
    <t>تحديد  خطة حوافز للمرشد للتجارة</t>
  </si>
  <si>
    <t>تم ارسال بعض الأفكار للإدارة المالية لعمل نموذج مالي</t>
  </si>
  <si>
    <t>المدير العام - تم التذكير</t>
  </si>
  <si>
    <t>تحقيق بخصوص عميل الريفيرا بارك</t>
  </si>
  <si>
    <t>يوجد عميل (دوباريس) غير السجل التجاري ولازال في الوحدة</t>
  </si>
  <si>
    <t>تحقيق بخصوص عميل الريفيرا بارك المؤجر بسجل مختلف</t>
  </si>
  <si>
    <t>تمت المناقشة مع الأصول العقارية وهم على علم بالموضوع</t>
  </si>
  <si>
    <t>تحليل الديون التي لم تحال للقانونية فوق 180 يوم</t>
  </si>
  <si>
    <t>تم الاستلام - وطلب التوضيح بخصوص مالم يتم احالته</t>
  </si>
  <si>
    <t>تم الارسال للجنة المراجعة وتم انشاء مهام جديدة</t>
  </si>
  <si>
    <t>تحليل مصروفات القابضة حتى فبراير مقارنة مع الموازنة</t>
  </si>
  <si>
    <t>جاري التعديل لاضافة كافة الحسابات مع ترحيل ما لم يتم صرفه وتقديم مالم يتم  صرفه</t>
  </si>
  <si>
    <t>تصاميم المباسط سوق الطائف</t>
  </si>
  <si>
    <t>تقديم عروض أسعار وتصاميم - جاري العمل</t>
  </si>
  <si>
    <t>تصميم مشروع خميس مشيط</t>
  </si>
  <si>
    <t>تم طلب التعديلات الجديدة المقدمة من المعنييين</t>
  </si>
  <si>
    <t>تطبيق خدمات الامن السيبراني</t>
  </si>
  <si>
    <t>تم ارسال التعميد وتوقيع العقود</t>
  </si>
  <si>
    <t>تم بدء المشروع</t>
  </si>
  <si>
    <t>جاري العمل حسب الخطة - حاليا في المرحلة الرابعة (التصميم والتنفيذ) - الانتهاء حسب الموعد</t>
  </si>
  <si>
    <t>تم الانتهاء من اعمال التنفيذ</t>
  </si>
  <si>
    <t>تطبيق عناقيد الفاكهة</t>
  </si>
  <si>
    <t>في انتظار الجدول الزمني لانهاء ربط التطبيق على دينامكس محاسبيا</t>
  </si>
  <si>
    <t>طه أبو طه</t>
  </si>
  <si>
    <t>بنهاية شهر ابريل</t>
  </si>
  <si>
    <t>تطبيق قائمة أسعار منتجات المرشد الزراعية على النظام</t>
  </si>
  <si>
    <t>تم الانتهاء منها 18/05</t>
  </si>
  <si>
    <t>تطبيق مصادقة ارصدة العملاء</t>
  </si>
  <si>
    <t>تطورات الشراكة مع شركة وسط الرياض</t>
  </si>
  <si>
    <t>تم مناقشة العرض وتبين ان المطلوب هو الإبقاء على نسيج المنطقة وبناء سوق مثل سوق الدحو</t>
  </si>
  <si>
    <t>حسب إدارة الاستثمار - التصميم الجديد غير مجدي</t>
  </si>
  <si>
    <t>تطوير القرية الشعبية بالاحساء</t>
  </si>
  <si>
    <t>تم استلام الجدول الزمني للمشروع - البدء بعد\ العيد</t>
  </si>
  <si>
    <t>الانتهاء من الدهانات خلال يومين - متبقى العزل</t>
  </si>
  <si>
    <t>تم الانتهاء من اعمال المقاولات متبقى اعمال العزل</t>
  </si>
  <si>
    <t>تم اسناد  اعمال العزل مع اعمالنا</t>
  </si>
  <si>
    <t>تم استلام المشروع</t>
  </si>
  <si>
    <t>تطوير سوق الطائف</t>
  </si>
  <si>
    <t>تم استلام الجدول الزمني للمشروع - جاري العمل</t>
  </si>
  <si>
    <t>تم الانتهاء من الاعمال - في انتظار الاستلام من إدارة المشاريع</t>
  </si>
  <si>
    <t>متبقي بعض اعمال السور وتوقف المقاول وتم رفع الامر للقانونية</t>
  </si>
  <si>
    <t>إدارة المشاريع - استلام الموقع</t>
  </si>
  <si>
    <t>تم طلب فيديو</t>
  </si>
  <si>
    <t>تم ارسال خطاب للمقاول وسيتم التسليم في خلال 15 يوم</t>
  </si>
  <si>
    <t>فيديو للمشروع توضيح التطورات</t>
  </si>
  <si>
    <t>جاري التركيب ومتوقع الانتهاء نهاية الأسبوع والاستلام بحد أقصى الأسبوع القادم.</t>
  </si>
  <si>
    <t>حسب افادة إدارة المشاريع</t>
  </si>
  <si>
    <t>بداية من 5/1/2025</t>
  </si>
  <si>
    <t>جاري العمل والتقرير يصل بشكل اسبوعي</t>
  </si>
  <si>
    <t>تطوير سوق المدينة</t>
  </si>
  <si>
    <t>جاري حصر تكاليف الازالة والانشاء الجديد حسب المخططات الأخيرة</t>
  </si>
  <si>
    <t>تم تجهيز العرض التقديمي وارساله لCEO</t>
  </si>
  <si>
    <t>تعديل استراتيجية الموارد البشرية</t>
  </si>
  <si>
    <t>تم استلام توصيات اللجنة وجاري العمل على الاعداد من قبل المدير التنفيذي</t>
  </si>
  <si>
    <t>تعديل اقفال فبراير وترحيل مالم يتم صرفه</t>
  </si>
  <si>
    <t>تعديل العرض التقديمي لاثر مشروع حطين</t>
  </si>
  <si>
    <t>تم طلب التعديل بخصوص إيرادات خميس مشيط والعودة للارقام الأساسية حتى لو كان هناك عجز بالتدفقات</t>
  </si>
  <si>
    <t>تعديل الهيكل التنظيمي للمرشد للتجارة</t>
  </si>
  <si>
    <t>تم استلام التعديل على الهيكل التنظيمي في انتظار التعميم</t>
  </si>
  <si>
    <t>الرئيس التنفيذي - اعتماد</t>
  </si>
  <si>
    <t>يعتمد</t>
  </si>
  <si>
    <t>تعديل تقرير المراجع الخارجي بخصوص برنامج دينامكس</t>
  </si>
  <si>
    <t>تم مراجعة الملاحظات وجاري تعديل التقرير</t>
  </si>
  <si>
    <t>تم ارسال التقرير والرد على الملاحظات للمراجعة الداخلية</t>
  </si>
  <si>
    <t>تعديل تقرير خميس مشيط</t>
  </si>
  <si>
    <t>تم ارسال التحديثات لمعتصم</t>
  </si>
  <si>
    <t>تعديل خطاب الإدارة من قبل المراجع</t>
  </si>
  <si>
    <t>تم ارسال طلب التعديل للمراجع الخارجي 14/8</t>
  </si>
  <si>
    <t>تم الرد من المراجع الخارجي</t>
  </si>
  <si>
    <t>تم الرفع للجنة المراجعة</t>
  </si>
  <si>
    <t>تعديل رخص البناء في مشروع اشبيلية</t>
  </si>
  <si>
    <t>لتصبح باسم درة اشبيلية</t>
  </si>
  <si>
    <t>مطلوب تفويض مالك الأرض ( وزارة الاوقاف ) لمكتب اكنان</t>
  </si>
  <si>
    <t>م سعد قال انتظر بالاجراء لانه قد يوجد حل  مع المالية لطريقة لتسوية ضريبة رسوم</t>
  </si>
  <si>
    <t>تعديل سياسة إدارة المشاريع</t>
  </si>
  <si>
    <t>تعديل سياسة التأجير</t>
  </si>
  <si>
    <t>تم ارسال النسخة الأخيرة</t>
  </si>
  <si>
    <t>تعديل سياسة التمويل</t>
  </si>
  <si>
    <t>مادة سياسة التمويل فقرة رقم 7</t>
  </si>
  <si>
    <t>تعديل عرض المراجع لعرض التدقيق لعام 24</t>
  </si>
  <si>
    <t>بحيث لايزيد عن 5% من العام الماضي</t>
  </si>
  <si>
    <t>تعديل مودل الاستراتيجية</t>
  </si>
  <si>
    <t>إضافة الافتراضات وتعديل الكاش فلو</t>
  </si>
  <si>
    <t>تعميد التراخيص (انغرام ميكرو)</t>
  </si>
  <si>
    <t>جاري تجهيز التعميد</t>
  </si>
  <si>
    <t>تعميد شركة الخدمات المدارة عقد التنفيذ للامن السيبراني</t>
  </si>
  <si>
    <t>جاري تعديل العقد واعتماده مع المورد</t>
  </si>
  <si>
    <t>تعيين استشاري لهيكلة راس المال المثالي</t>
  </si>
  <si>
    <t>تم الحصول على عرضين وبانتظار قرار لجنة المراجعة.</t>
  </si>
  <si>
    <t>تعيين المدقق لبرنامج الدينامكس</t>
  </si>
  <si>
    <t>تم الاجتماع مع بعض الشركات وفي انتظار عروضهم</t>
  </si>
  <si>
    <t>تعيين المدقق للامن السيبراني</t>
  </si>
  <si>
    <t>تعيين المدقق للتقنية (امن سيبراني - برامج)</t>
  </si>
  <si>
    <t>تم اختيار EY - وفي انتظار العرض النهائي</t>
  </si>
  <si>
    <t>تغيير اسم قرية الاحساء</t>
  </si>
  <si>
    <t>تم اعتماد الرئيس لعروض تغيير الأسماء للوحات</t>
  </si>
  <si>
    <t>تقارير إيرادات الفترة والايرادات المؤجلة على الدينامكس</t>
  </si>
  <si>
    <t>جاري العمل على انهاء التقارير في الفترة المحددة</t>
  </si>
  <si>
    <t>تقارير دينامكس</t>
  </si>
  <si>
    <t>التقارير الجاري العمل عليها  (القوائم - ارصدة الموردين - الايراد المقدم - البنوك - المطابقة)</t>
  </si>
  <si>
    <t>تم رفع التحديث والانتهاء من جميع الملاحظات</t>
  </si>
  <si>
    <t>تقديم استراتيجية التجارة</t>
  </si>
  <si>
    <t>تم التوجيه على التسليم يوم 9/11</t>
  </si>
  <si>
    <t>تقديم توصية لما يمكن اتلافه من مخزون 2017 الى 2021</t>
  </si>
  <si>
    <t>بعد تقديم القائمة من إدارة المرشد للتجارة</t>
  </si>
  <si>
    <t>لم يتم الارسال</t>
  </si>
  <si>
    <t>المدير العام - للرد والاجتماع مع الإدارة المالية</t>
  </si>
  <si>
    <t>تم الاتفاق على تقديم التوصية باعدام المواد المنتهية فقط</t>
  </si>
  <si>
    <t>المدير العام - نائب الرئيس للمالية</t>
  </si>
  <si>
    <t>تقديم التوصية من م خالد</t>
  </si>
  <si>
    <t>تقديم خطة بخصوص أوامر الشراء المفتوحة حاليا</t>
  </si>
  <si>
    <t>وكم مقدار ما يمكن تأجيله منها للعام 2025</t>
  </si>
  <si>
    <t>تم تقديم التوصية  9/8 للإدارة المالية للمراجعة وتقديم الرأي</t>
  </si>
  <si>
    <t>تقديم خطة للتصرف في المخزون لعام 2022 والمقدر بحوالي (5 مليون ريال)</t>
  </si>
  <si>
    <t>تم التوصية بخصم اجمال 823 الف</t>
  </si>
  <si>
    <t>المدير العام له صلاحية توزيع الخصومات</t>
  </si>
  <si>
    <t>تقديم خطة لمعالجة حساب الشركاء</t>
  </si>
  <si>
    <t>175 مليون</t>
  </si>
  <si>
    <t>مستلم في انتظار اعتماد الرئيس</t>
  </si>
  <si>
    <t>معتمد</t>
  </si>
  <si>
    <t>تقديم دراسة بخصوص رأس المال</t>
  </si>
  <si>
    <t>إضافة بيانات القروض والكابيتال</t>
  </si>
  <si>
    <t>تقديم دراسة حيال إمكانية رفع قيمة عقد التحميل والتنزيل</t>
  </si>
  <si>
    <t>تمت المتابعة مع سلطان المحمدي وفي انتظار الرد</t>
  </si>
  <si>
    <t>تم استلام التوصية من الاستثمار بعدم جدوى الاستثمار</t>
  </si>
  <si>
    <t>تقديم دراسة من BDO بشكل احترافي</t>
  </si>
  <si>
    <t>تم استلام التقرير</t>
  </si>
  <si>
    <t>مع وجود بعض الملحوظات وفي انتظار Cfo للنقاش</t>
  </si>
  <si>
    <t>تقديم عرض التقنية العقارية  Prop Tech</t>
  </si>
  <si>
    <t>تم الارسال للرئيس</t>
  </si>
  <si>
    <t>للمناقشة مع الرئيس</t>
  </si>
  <si>
    <t>تقديم مقترح لتعديل سياسة مخصص المخزون بالنسبة لمواد ال CP</t>
  </si>
  <si>
    <t>تم استلام مقترح من إدارة التجارة</t>
  </si>
  <si>
    <t>تقديم مقترح منفصل للهيكل الوظيفي الجديد</t>
  </si>
  <si>
    <t>تم الارسال للموارد البشرية</t>
  </si>
  <si>
    <t>للمراجعة ثم  للعرض على الرئيس</t>
  </si>
  <si>
    <t>تقرير اغلاق شهر 6 للرئيس التنفيذي</t>
  </si>
  <si>
    <t>تقرير اغلاق شهر 7 للرئيس التنفيذي</t>
  </si>
  <si>
    <t>تقرير الإيرادات الأخرى</t>
  </si>
  <si>
    <t>تفاصيل الإيرادات الأخرى مع المقارنة مع العام الماضي</t>
  </si>
  <si>
    <t>تقرير الزيارات لحائل</t>
  </si>
  <si>
    <t>عمل تقرير بالزيارة لحائل</t>
  </si>
  <si>
    <t>تقرير تحصيل شهر 6-2025</t>
  </si>
  <si>
    <t>تقرير تطوير سوق المدينة</t>
  </si>
  <si>
    <t>إضافة تقرير لتطوير سوق المدينة بتقرير اللجنة التنفيذية</t>
  </si>
  <si>
    <t>تم ارسال العرض للرئيس</t>
  </si>
  <si>
    <t>تقرير رسوم الأراضي البيضاء والشواغر وتأثير قرار الرسوم على المجموعة</t>
  </si>
  <si>
    <t>تم الرد من الإدارة المالية بانه في انتظار اصدار اللائحة لحساب الأثر</t>
  </si>
  <si>
    <t>تقرير سوق ينبع</t>
  </si>
  <si>
    <t>تم ارسال تفاصيل الخطة المعتمدة لوضع نسب الإنجاز</t>
  </si>
  <si>
    <t>تقرير عن تطوير سوق الطائف قبل وبعد التطوير</t>
  </si>
  <si>
    <t>مع المخالفات</t>
  </si>
  <si>
    <t>تقييم ارض الاحساء لغرض اثباتها في الدفاتر</t>
  </si>
  <si>
    <t>تم  تعميد مكتب تقييم ومتوقع الانتهاء خلال اسبوع</t>
  </si>
  <si>
    <t>إدارة تطوير الاعمال</t>
  </si>
  <si>
    <t>تم استلام التقييم</t>
  </si>
  <si>
    <t>تقييم ارض الخزامى</t>
  </si>
  <si>
    <t>تم التقييم</t>
  </si>
  <si>
    <t>تم ارسال التقييم للمالية لاثبات الدفاتر</t>
  </si>
  <si>
    <t>تكاليف الامن السيبراني</t>
  </si>
  <si>
    <t>تكاليف مشروع حفر الباطن</t>
  </si>
  <si>
    <t>تكاليف مشروع حفر الباطن واجمالي المدفوعات النقدية من طرف المالك</t>
  </si>
  <si>
    <t>تكويد وحصر للأصول التقنية الغير مستخدمة</t>
  </si>
  <si>
    <t>الانتهاء اليوم 21/05</t>
  </si>
  <si>
    <t>تكويد وحصر للأصول التقنية المستخدمة بالمجموعة</t>
  </si>
  <si>
    <t>باقي الحائر</t>
  </si>
  <si>
    <t>تكوين لجنة والبدء لجرد المخزون</t>
  </si>
  <si>
    <t>محمد نور – عبد الله مهيوب – محمد فرحان – عادل جلال</t>
  </si>
  <si>
    <t>تم تشكيل اللجان المختصة بكل فرع</t>
  </si>
  <si>
    <t>محمد عبد الحميد</t>
  </si>
  <si>
    <t>تمويل البنك السعودي للاستثمار</t>
  </si>
  <si>
    <t>تنفيذ اعداد وتخطيط الموازنة على الدينامكس</t>
  </si>
  <si>
    <t>تم الاجتماع مع المطور وجاري العمل على الخطة الزمنية</t>
  </si>
  <si>
    <t>توحيد مكان المستندات (السياسات وغيرها)</t>
  </si>
  <si>
    <t>تم توحيد جميع قوالب المستندات</t>
  </si>
  <si>
    <t>توظيف مهندس صيانة</t>
  </si>
  <si>
    <t>تم اختيار من قبل م أشرف - في انتظار العرض على الرئيس</t>
  </si>
  <si>
    <t>تم قبول العرض والتوظيف بداية 8</t>
  </si>
  <si>
    <t>جرد المبنى الجديد</t>
  </si>
  <si>
    <t>تم الانتهاء من عملية الجرد</t>
  </si>
  <si>
    <t>جلب عروض المراجع الخارجي (إضافية)</t>
  </si>
  <si>
    <t>تم اعتذار KPMG  بشكل شفهى وابنتظار ايميل بالاعتذار منهم. بخصوص ديلويت مازال تحت الاجراء</t>
  </si>
  <si>
    <t>حصر العقود التأجيرية الموثقة  للعام 2023</t>
  </si>
  <si>
    <t>تم مخاطبة RE وسيتم تجهيز العقود فور الانتهاء من عقود 24</t>
  </si>
  <si>
    <t>حصر العقود التأجيرية الموثقة  للعام 2024</t>
  </si>
  <si>
    <t>تم ارسال تذكير 16/05 - 19/05 -الانتهاء21/05</t>
  </si>
  <si>
    <t>حل مشكلة الصرف الصحي بسوق الطائف</t>
  </si>
  <si>
    <t>حاليًا قيد الدراسة لدى شركة المياه</t>
  </si>
  <si>
    <t>يتطلب الأمر تنفيذ مشروع لإنشاء نقطة تصريف داخل حدود السوق</t>
  </si>
  <si>
    <t>حل مشكلة تصريف السيول  بسوق الطائف</t>
  </si>
  <si>
    <t>جاري تجهيز عقد المقاول والاستشاري</t>
  </si>
  <si>
    <t>حملة اعلامة لتدشين افتتاح أسواق القرية بالحفر</t>
  </si>
  <si>
    <t>تم التواصل مع إدارة تطوير الاعمال على ان يتم البدء قبل نهاية العام</t>
  </si>
  <si>
    <t>خطاب الرد على الامانه بخصوص مخالفات المرقب</t>
  </si>
  <si>
    <t>المشاريع والصيانه</t>
  </si>
  <si>
    <t>تم الارسال للرئيس للاعتماد</t>
  </si>
  <si>
    <t>التأجيل لبعد العيد</t>
  </si>
  <si>
    <t>خطاب توضيح عن طريقة توزيع الأرباح مع الشركاء</t>
  </si>
  <si>
    <t>تم ارسال درافت وفي انتظار استلام كشف الحساب</t>
  </si>
  <si>
    <t>خطاب للامانه بخصوص سوق غرب الرياض</t>
  </si>
  <si>
    <t>تم التحديث وطلب تعديل الخطاب</t>
  </si>
  <si>
    <t>خطاب للمهندس طراف للبدء في التحكيم</t>
  </si>
  <si>
    <t>تم ارسال درافت</t>
  </si>
  <si>
    <t>خطة اقفال 2026</t>
  </si>
  <si>
    <t>خطة التدفق النقدي لمشروعات اعمالنا للمقاولات</t>
  </si>
  <si>
    <t>تم استلام تكاليف مشروع حفر الباطن</t>
  </si>
  <si>
    <t>تم الاستلام بتاريخ 9/9</t>
  </si>
  <si>
    <t>المدير التنفيذي للمقاولات - باقي المشاريع</t>
  </si>
  <si>
    <t>خطة العقارات للزيادة بنهاية شهر 6</t>
  </si>
  <si>
    <t>خطة المقاول لتحقيق النسبة المخطط لها 73% بنهاية 2024</t>
  </si>
  <si>
    <t>تم استلام خطة المقاول واعتمادها من الاستشاري</t>
  </si>
  <si>
    <t>خطة تخفيض التكاليف</t>
  </si>
  <si>
    <t>تم تقديم خطة لتخفيض مبلغ 4 مليون ريال</t>
  </si>
  <si>
    <t>المتابعة شهريا للوصول للمستهدف</t>
  </si>
  <si>
    <t>خطة تصريف مخزون سيمنز</t>
  </si>
  <si>
    <t>التجارة</t>
  </si>
  <si>
    <t>لؤي الاسدي</t>
  </si>
  <si>
    <t>خطة تطوير سوق الطائف</t>
  </si>
  <si>
    <t>تم اعتماد مبلغ 1 مليون ريال للتطوير حسب خطة إدارة المشاريع</t>
  </si>
  <si>
    <t>تم استلام الخطة</t>
  </si>
  <si>
    <t>خطة زيادة إيرادات الأصول العقارية 15% (على مستوى السوق) قبل حلول عام 2027</t>
  </si>
  <si>
    <t>تم استلام الخطة واعتمادها من الرئيس</t>
  </si>
  <si>
    <t>تم التعديل واعتماد ارقام 24 (205 مليون)</t>
  </si>
  <si>
    <t>خطة عدد المستأجرين وعقودهم</t>
  </si>
  <si>
    <t>تم الارسال من الأصول العقارية</t>
  </si>
  <si>
    <t>تم ارسال المتطلبات بتاريخه 8/9</t>
  </si>
  <si>
    <t>خطة عمل سوق الخضار بالطائف</t>
  </si>
  <si>
    <t>تم استلام الموازنة والتصميمات للتعميد والارسال</t>
  </si>
  <si>
    <t>داشبورد الأصول العقارية وربطها بداشبورد القانونية</t>
  </si>
  <si>
    <t>يتم إضافة ماتم تحويله للقانونية في اعمار الديون</t>
  </si>
  <si>
    <t>تم الانتهاء من ربطهم الاثنين مع بعض</t>
  </si>
  <si>
    <t>داشبورد الموازنة</t>
  </si>
  <si>
    <t>تم التوجيه لعمل داشبورد من إدارة الموازنة</t>
  </si>
  <si>
    <t>تم ارسال الموازنات الشهرية للرفع على الدينامكس</t>
  </si>
  <si>
    <t>دراسة الإستحواذ على حصة الشركاء بالشركة العربية</t>
  </si>
  <si>
    <t>تم الانتهاء من الدراسة</t>
  </si>
  <si>
    <t>دراسة الاستخدام الأمثل للمواقف</t>
  </si>
  <si>
    <t>تم استلام العرض من شركة بصمة وسيتم تجهيز تقرير للعرض على للجنة</t>
  </si>
  <si>
    <t>دراسة بيع 30% من مشروع اشبيلية</t>
  </si>
  <si>
    <t>تم التقديم للرئيس</t>
  </si>
  <si>
    <t>دراسة تشغيل المواقف</t>
  </si>
  <si>
    <t>وجهت اللجنة الإدارة التنفيذية المزيد من الدراسة والبحث على أفضل الممارسات من خلال الحصول على ثلاث عروض لأكبر ثلاث شركات متخصصة</t>
  </si>
  <si>
    <t>تم استلام عرض باتك وجاري عمل سلايد تقرير</t>
  </si>
  <si>
    <t>دراسة توضح اهم عشرة مخاطر تواجه المجموعة</t>
  </si>
  <si>
    <t>تم التواصل مع الجميع على ان يتم استلام مدخلاتهم قبل 20/04</t>
  </si>
  <si>
    <t>تم استلام (الاستثمار - الHR - التجارة - الأصول العقارية- التقنية - القانونية)</t>
  </si>
  <si>
    <t>دراسة جدوى القطاع التجاري</t>
  </si>
  <si>
    <t>جاري العمل على التحليل المالي مع تعديل بعض نقاط دراسة السوق</t>
  </si>
  <si>
    <t>تم استلام الإصدار الأول من التقرير</t>
  </si>
  <si>
    <t>المرشد للتجارة - الإدارة المالية - الاستثمار للمراجعة</t>
  </si>
  <si>
    <t>للمراجعة مع إدارة التجارة</t>
  </si>
  <si>
    <t>الخميس</t>
  </si>
  <si>
    <t>تم استلام النسخه الثانية وجاري استخدامها بواسطة التجارة لعمل استراتيجية خاصة بهم</t>
  </si>
  <si>
    <t>دراسة حركة المرور بسوق خضار المدينة</t>
  </si>
  <si>
    <t>تم طلب عروض أسعار من مكتب عبدالرزاق حكيم</t>
  </si>
  <si>
    <t>لم تصل العروض وتم تذكيرهم</t>
  </si>
  <si>
    <t>تم طلب عروض أسعار من مكتب عبدالرزاق حكيم وفي الانتظار في خلال الأسبوع القادم</t>
  </si>
  <si>
    <t>تم استلام عرضين سعر وتم طلب عروض من  ACES - شركة بصمة ابداع - شركة عتاد</t>
  </si>
  <si>
    <t>تم ارسال العروض للرئيس التنفيذي</t>
  </si>
  <si>
    <t>الرئيس التنفيذي - On Hold</t>
  </si>
  <si>
    <t>تم التعليق نتيجة الدخول في مفاوضات مع شركة مدينة الغذاء</t>
  </si>
  <si>
    <t>دراسة عن إمكانية استكمال مشروع اشبيليه بواسطة اعمالنا</t>
  </si>
  <si>
    <t>سري وعاجل - جاري العمل عليها وسيتم الانتهاء في الموعد المحدد30/5</t>
  </si>
  <si>
    <t>في انتظار قرار اللجنة التنفيذية</t>
  </si>
  <si>
    <t>دراسة كوليرز مع السعودي للاستثمار</t>
  </si>
  <si>
    <t>موعد تسليم المسودة يوم الاثنين</t>
  </si>
  <si>
    <t>دراسة لفكرة تغيير مكان الحراج الحالي تقدم لوزارة الزراعة</t>
  </si>
  <si>
    <t>دليل شامل لبرنامج دينامكس</t>
  </si>
  <si>
    <t>دليل على تحصيل التجارة لمبلغ ال 3 مليون</t>
  </si>
  <si>
    <t>تم الاستلام والارسال ليوسف حامد</t>
  </si>
  <si>
    <t>دورة تدريبية اونلاين لادارة المرافق</t>
  </si>
  <si>
    <t>حضور الدورة لمنسوبي إدارة المرافق</t>
  </si>
  <si>
    <t>تم حضور 5 اشخاص</t>
  </si>
  <si>
    <t>ربط الدينامكس مع منصة الزكاة</t>
  </si>
  <si>
    <t>بانظار تحديد الموعد والبدء بعمل التجارب خلال شهر</t>
  </si>
  <si>
    <t>تم الانتهاء من الفواتير الالكترونية</t>
  </si>
  <si>
    <t>زيارة شركات إدارة المرافق وتقديم دراسة</t>
  </si>
  <si>
    <t>التوجيه كان في خلال شهر من تاريخ الاجتماع أي يوم 9/6</t>
  </si>
  <si>
    <t>سياسات إدارة المرافق</t>
  </si>
  <si>
    <t>تم ارسال التعديلات للمهندس عوض لعمل اللازم</t>
  </si>
  <si>
    <t>تم الاعتماد والارسال للجنة</t>
  </si>
  <si>
    <t>سياسات الإدارة القانونية</t>
  </si>
  <si>
    <t>تمت المراجعة والتأكد من جميع ملاحظات اللجنة</t>
  </si>
  <si>
    <t>سياسة الاستثمار</t>
  </si>
  <si>
    <t>تم الارسال للرئيس التنفيذي للمراجعة</t>
  </si>
  <si>
    <t>تم الإعادة للمناقشة</t>
  </si>
  <si>
    <t>في انتظار موعد مع (أ نبيل) - التواصل مع نائب رئيس المجلس</t>
  </si>
  <si>
    <t>سياسة الاستراتيجية</t>
  </si>
  <si>
    <t>تم الانتهاء من عمل المسودة للعرض على الرئيس</t>
  </si>
  <si>
    <t>سيناريو الاستثمار الجديد المقترح من مجلس الإدارة</t>
  </si>
  <si>
    <t>الأثر على قائمة الدخل - التدفقات النقدية - إضافة الأرباح الإضافية للمرشد</t>
  </si>
  <si>
    <t>صك الغنامية</t>
  </si>
  <si>
    <t>اصدار خطاب من ادارة التراخيص بالامانه للتخطيط العمراني  بخصوص الارض هل سكني ولا مستودعات</t>
  </si>
  <si>
    <t>صلاحيات المبيعات والمشتريات بالدينامكس</t>
  </si>
  <si>
    <t>تم إتمام الصلاحيات وتنفيذ المطلوب</t>
  </si>
  <si>
    <t>التقنية - إتمام الصلاحيات على النظام</t>
  </si>
  <si>
    <t>صلاحيات كفالة الغير عند التعامل مع البنوك</t>
  </si>
  <si>
    <t>تم الانتهاء من المرشد للاستثمار العقاري</t>
  </si>
  <si>
    <t>صيانة سوق المرقب</t>
  </si>
  <si>
    <t>تم الاعتماد من الرئيس 21/05 وفي انتظار جدول التنفيذ من المشاريع م سيد</t>
  </si>
  <si>
    <t>متبقى دورات المياة - ويتم التجديد على مراحل كل مرحلة دورة مياة واحدة</t>
  </si>
  <si>
    <t>تم التسليم للمهندس عوض وجاري التطوير بناء على الميزانية المتبقية - في خلال 3 أسابيع</t>
  </si>
  <si>
    <t>باقي اعمال التطوير الخارجية  وحمام المسجد</t>
  </si>
  <si>
    <t>ضاحية الفرسان</t>
  </si>
  <si>
    <t>توقيع اتفاقيه تفاهم- كم نسبة الأغلبية - تقييم الأرض</t>
  </si>
  <si>
    <t>تقوم إدارة الاستثمار بالتواصل مع NHC بالمطلوب والرد</t>
  </si>
  <si>
    <t>ارسلوا مجموعة الاستفسارات والمخاوف بخصوص سكن العمالة وآليات تشغيل السوق</t>
  </si>
  <si>
    <t>في انتظار الرد منهم</t>
  </si>
  <si>
    <t>طلبات لجنة المراجعة بخصوص تقرير المراجع الداخلي</t>
  </si>
  <si>
    <t>تم العمل على تلافي الملاحظات</t>
  </si>
  <si>
    <t>طلبات لجنة المراجعة من القانونية</t>
  </si>
  <si>
    <t>القضايا ضد الشركة بمبلغ 250 الف وبيان بالقضايا تحت 250 الف</t>
  </si>
  <si>
    <t>طلبات لجنة المراجعة من المستشار نفل براك الخاص بالتحول IFRS</t>
  </si>
  <si>
    <t>عرض التأمين</t>
  </si>
  <si>
    <t>تحديث عرض  التأمين على الأصول</t>
  </si>
  <si>
    <t>عرض تقديمي عن التدريب في 2024</t>
  </si>
  <si>
    <t>تم ارسال النسخة الأولى للرئيس</t>
  </si>
  <si>
    <t>إضافة أسماء المراكز</t>
  </si>
  <si>
    <t>عرض خميس مشيط الجديد بعد التعديل</t>
  </si>
  <si>
    <t>جاهز</t>
  </si>
  <si>
    <t>عرض ينبع</t>
  </si>
  <si>
    <t>عمل عرض تقديمي عن التطورات في سوق ينبع</t>
  </si>
  <si>
    <t>عروض أسعار استشاري لتطوير سوق المدينة</t>
  </si>
  <si>
    <t>تم التوجيه بتجميع العروض وارسال مذكرة مع التوصية</t>
  </si>
  <si>
    <t>تم التعاقد بداية من 20/10/2025 ولمدة 45 يوم</t>
  </si>
  <si>
    <t>عروض أسعار التأمين الطبي</t>
  </si>
  <si>
    <t>تم ارسال التفويض بتاريخ 15/05 - تم التحديث اليوم 23/5 والعروض الأسبوع القادم</t>
  </si>
  <si>
    <t>في انتظار عرض تكافل الراجحي - عرض التعاونية النهائي وجاري مطابقة المميزات</t>
  </si>
  <si>
    <t>تم اعتماد عرض التعاونية وفي انتظار استلام العرض النهائي</t>
  </si>
  <si>
    <t>عقد خدمات الامن السيبراني</t>
  </si>
  <si>
    <t>عقد سوق خضار غرب الرياض</t>
  </si>
  <si>
    <t>المعاملة في عقارات الدولة في انتظار الافراغ</t>
  </si>
  <si>
    <t>عقود التخارج من المرشد الزراعية</t>
  </si>
  <si>
    <t>تم المناقشة مع الإدارة القانونية والمدير العام</t>
  </si>
  <si>
    <t>عمل استبيان رضا الموظفين</t>
  </si>
  <si>
    <t>تم التواصل مع عدد من الشركات واستلام عرض</t>
  </si>
  <si>
    <t>تم الطلب من المدير التنفيذي، اعتماد الاستبيان وعمله بأسرع وقت</t>
  </si>
  <si>
    <t>تم التواصل مع المورد على لقاء يوم الاحد 12/1</t>
  </si>
  <si>
    <t>عمل استراتيجية راس المال البشري</t>
  </si>
  <si>
    <t>تم طلب تعديلات وجاري العمل عليها</t>
  </si>
  <si>
    <t>عمل توصية بشطب مخصصات الأصول العقارية</t>
  </si>
  <si>
    <t>تقدم للرئيس التنفيذي</t>
  </si>
  <si>
    <t>تم ارسال الملف المطلوب(المطالبات القانونية) في 10/6</t>
  </si>
  <si>
    <t>ملف القضايا غير مكتمل وبه أخطاء في انتظار التصحيح</t>
  </si>
  <si>
    <t>التوجية لارسال خطاب بالتفاصيل المطلوبة من لجنة المراجعة - جاري العمل من الأصول والقانونية</t>
  </si>
  <si>
    <t>تم اكتمال ارسال كافة طلبات لجنة المراجعة المرفقة مع التوصية</t>
  </si>
  <si>
    <t>لجنة المراجعة - اعتماد الشطب</t>
  </si>
  <si>
    <t>عمل مقترح جديد خطة حوافز للمرشد للتجارة</t>
  </si>
  <si>
    <t>تم التواصل مع المدير العام</t>
  </si>
  <si>
    <t>حاري العمل مع المدير العام والمالية لعمل خطة جديدة تشمل الأهداف الجديدة والحوافز</t>
  </si>
  <si>
    <t>فتح حسابات فرعية (المرقب - العقيق - العربية ) ونقاط بيع</t>
  </si>
  <si>
    <t>تم توقيع الطلبات ورفعها للبنك</t>
  </si>
  <si>
    <t>فصل المولدات (تقنية)</t>
  </si>
  <si>
    <t>رد المهندس جورج بطلب وقت زيادة</t>
  </si>
  <si>
    <t>تم ارسال تذكير في حالة عدم التجاوب</t>
  </si>
  <si>
    <t>تم إعادة الاتفاق ليكون الفصل النهائي في أكتوبر 24</t>
  </si>
  <si>
    <t>تم الفصل - دينامكس والايميلات</t>
  </si>
  <si>
    <t>فيديو اشبيليه و حفر الجديد للعرض على المجلس</t>
  </si>
  <si>
    <t>قائمة أسعار المنتجات - شركة التجارة</t>
  </si>
  <si>
    <t>تم الانتهاء 29/05</t>
  </si>
  <si>
    <t>قائمة أسعار المنتجات - شركة الزراعية</t>
  </si>
  <si>
    <t>محمد السيد</t>
  </si>
  <si>
    <t>تم الاعتماد على النظام</t>
  </si>
  <si>
    <t>قائمة بأسماء الموظفين المسؤلين عن كل سوق لعمل صراف لهم</t>
  </si>
  <si>
    <t>ماتم تحويله للإدارة القانوينة</t>
  </si>
  <si>
    <t>الدينامكس فقط 2025 - جاري العمل على استكماله</t>
  </si>
  <si>
    <t>تم الاستلام في ملف اكسل وجاري إدخاله على الدينامكس</t>
  </si>
  <si>
    <t>متابعة ادخال ارقام جوالات العملاء على النظام</t>
  </si>
  <si>
    <t>الادخال للعقود الحالية وسيتم الالزام في العقود الجديدة - تم المتابعة مع CFO</t>
  </si>
  <si>
    <t>تم الاتنهاء من ادخال</t>
  </si>
  <si>
    <t>متابعة ادخال ارقام جوالات عملاء الأصول العقارية على النظام</t>
  </si>
  <si>
    <t>متابعة تحصيل الأصول العقارية للشهر الماضي</t>
  </si>
  <si>
    <t>تم ارسال البريد لكل مدير سوق</t>
  </si>
  <si>
    <t>ديون مافوق 365 يوم وهل تم احالتها للقانونية</t>
  </si>
  <si>
    <t>تم استلام التحصيل  متبقي اعمار الديون</t>
  </si>
  <si>
    <t>تمت</t>
  </si>
  <si>
    <t>متابعة خطة عمل موازنة 2025</t>
  </si>
  <si>
    <t>حسب خطة العمل المقدمة من إدارة الموازنة</t>
  </si>
  <si>
    <t>المتابعة على الجدول الزمني الخاص باعداد الموازنة</t>
  </si>
  <si>
    <t>الثلاثاء</t>
  </si>
  <si>
    <t>تم الانتهاء منها وعرضها على الرئيس وجاري العمل على التعديلات</t>
  </si>
  <si>
    <t>متابعة فك رهن ارض الغنامية</t>
  </si>
  <si>
    <t>تم الفك 20/052024 - في انتظار استلام الصكوك</t>
  </si>
  <si>
    <t>متطلبات إدارة الأصول من المالية</t>
  </si>
  <si>
    <t>متطلبات الTDF</t>
  </si>
  <si>
    <t>تم الرد بجميع المتطلبات والمتابعة لتحديث الطلبات ان وجدت</t>
  </si>
  <si>
    <t>الخزينة - المتابعة مع الصندوق</t>
  </si>
  <si>
    <t>مخططات الفندق بارك ان</t>
  </si>
  <si>
    <t>تم طلب تعديلات من المشغل وتم الطلب من المقاول وجاري اعداد مخطط التعديل</t>
  </si>
  <si>
    <t>الاثنين 13/1/2025</t>
  </si>
  <si>
    <t>مذكرة أوامر الشراء المفتوحة في التجارة</t>
  </si>
  <si>
    <t>عمل مذكرة بأوامر الشراء المفتوحة وتوضيح الموردين</t>
  </si>
  <si>
    <t>مراجعة السياسات فنيا من قسم التقنية</t>
  </si>
  <si>
    <t>تم الارسال للتقنية للمراجعة</t>
  </si>
  <si>
    <t>مكتمل -تم الرد</t>
  </si>
  <si>
    <t>مستشار الدفاع المدني (لاصدار التراخيص)</t>
  </si>
  <si>
    <t>تم التواصل مع المقاول الحالي وأفاد بانه الموقع مسلم للدفاع المدني ويمكنه اصدار شهادة انجاز</t>
  </si>
  <si>
    <t>التوصية من إدارة الصيانة بتأجيل العمل معهم لعدم الحاجة</t>
  </si>
  <si>
    <t>مستند بين القابضة والمقاولات بخصوص التمويلات</t>
  </si>
  <si>
    <t>تم التوصية من القانونية بعمل إقرار بالمديونية من قبل المقاولات</t>
  </si>
  <si>
    <t>القانونية - المالية متابعة اصدار الإقرار من المرشد للمقاولات</t>
  </si>
  <si>
    <t>تم التوقيع من م طراف باقي مجلس إدارة المقاولات</t>
  </si>
  <si>
    <t>حتى الان لم يصل التعهد من المقاولات</t>
  </si>
  <si>
    <t>مستودعات الغنامية مع الأمانة</t>
  </si>
  <si>
    <t>تم رفع واستيفاء جميع طلبات الأمانة لاعتماد القرارات المساحية الجديدة وبانتظار اصدارها وتسديد الرسوم حتي نتمكن من اصدار صك جديد للأرض وبدوره اصدار رخصة البناء.</t>
  </si>
  <si>
    <t>مشاكل المستاجرين التي تمنع إتمام التأمين بسوق الطائف</t>
  </si>
  <si>
    <t>تم ارسال تذكير لمدير العقار</t>
  </si>
  <si>
    <t>تم التعامل معهم وحلها وسيتم الزيارة يوم الاثنين</t>
  </si>
  <si>
    <t>مشروع الخزامى</t>
  </si>
  <si>
    <t>مشروع الغنامية</t>
  </si>
  <si>
    <t>الصكوك 95 الف - والأمانة 90 الف - المعاملة في بلدية الحائر - يوم الاثنين للبت في الأرض</t>
  </si>
  <si>
    <t>لازال الموظف في إجازة</t>
  </si>
  <si>
    <t>مشروع المواقف بسوق الطائف (تقديم عرض من شركة راكن) ثم تقديم المقترح لوزارة الزراعة</t>
  </si>
  <si>
    <t>لايمكن منحنا الموافقة من خلال فرع الزراعة وأنه بإمكاننا أخذ الموافقة من الشركة الوطنية الزراعية</t>
  </si>
  <si>
    <t>تم الرفض من الزراعة</t>
  </si>
  <si>
    <t>مصادقة الربع الأول من الأطراف ذات العلاقة</t>
  </si>
  <si>
    <t>يتم الاجراء بداية من الربع الأول للعام 2025</t>
  </si>
  <si>
    <t>تم التحقق من المصادقات (مصادقة الورثه عمرو عطية)</t>
  </si>
  <si>
    <t>معالجة اثر انخفاض إيرادات سوق المرقب</t>
  </si>
  <si>
    <t>تم  العرض والموافقة من الرئيس</t>
  </si>
  <si>
    <t>معالجة ملاحظات شركة التأمين</t>
  </si>
  <si>
    <t>جاري العمل على حل ملاحظات شركة التأمين - سيد الخياط 19/5</t>
  </si>
  <si>
    <t>جاري العمل لانهاء الملاحظات من قبل إدارة المشاريع</t>
  </si>
  <si>
    <t>تم انهاء الملاحظات والمواقع جاهزة للزيارة</t>
  </si>
  <si>
    <t>معاملة ارض خميس مشيط في الأمانة</t>
  </si>
  <si>
    <t>دخلت الأمانة اليوم وهايعمل اجتماع بعد الظهر</t>
  </si>
  <si>
    <t>معاملة المياه والكهرباء اشبيليه</t>
  </si>
  <si>
    <t>اعتماد عقد المقاول من اللجنة التنفيذية  المستشار القانوني  - بنتابع شركة المياه</t>
  </si>
  <si>
    <t>معاملة المياه والكهرباء حفر  الباطن</t>
  </si>
  <si>
    <t>معاملة الكهرباء: تم الانتهاء من اعمال الدارسات وارسالها الي شركة الكهرباء بالجبيل للتقدير واعتماد التكلفة وبانتظار الرد الرسمي بالتكلفة ان شاء الله.</t>
  </si>
  <si>
    <t>: تم رفع الطلب الي ادارة المشاريع بشركة المياه لدراسة اقرب خط من منطقة المشروع ويوجد مقترح اخر لتقليل التكلفة ولمنع اهدار الوقت تم تقديمه لفرع شركة المياه بمدينة حفر الباطن لكن بانتظار الموافقه علي ذلك الاقتراح.</t>
  </si>
  <si>
    <t>مقارنة التحصيل مع المستهدف للفترة 14/04 الى 14/05</t>
  </si>
  <si>
    <t>تم ارسال صيغة الخطابات للرئيس للاعتماد</t>
  </si>
  <si>
    <t>مقترح مواقف أسواق القرية غرب الرياض</t>
  </si>
  <si>
    <t>ملاحظات تطبيق عملاء الأصول العقارية</t>
  </si>
  <si>
    <t>الزام ادخال رقم جوال العميل في الدينامكس</t>
  </si>
  <si>
    <t>تم عمل ادخال الرقم الزامي</t>
  </si>
  <si>
    <t>مناقشة مخاطر التأخير في ادخال العقود</t>
  </si>
  <si>
    <t>تم تحديد موعد يوم الاحد 13</t>
  </si>
  <si>
    <t>تم الاتفاق على 3 نقاط  وستقوم الإدارة المالية بمتابعة الموضوع</t>
  </si>
  <si>
    <t>موازنة 2026</t>
  </si>
  <si>
    <t>نظام البناء بارض الخزامى</t>
  </si>
  <si>
    <t>جازع</t>
  </si>
  <si>
    <t>الارض ماعليها ايقاف - المطلوب تقديم مقترح المشروع مع صور الواجهات الانها بتقدم الدرعية</t>
  </si>
  <si>
    <t>تم استلام ارقام التكاليف وجاري اعداد نموذج مالي وعرض تقديمي</t>
  </si>
  <si>
    <t>نظام رسوم الأراضي البيضاء</t>
  </si>
  <si>
    <t>الغنامية – الخزامى – العريجاء</t>
  </si>
  <si>
    <t>نظام لادارة القضايا</t>
  </si>
  <si>
    <t>تمت المناقشة واخذ متطلبات الإدارة القانونية وفي انتظار السعر من المورد</t>
  </si>
  <si>
    <t>تم استلام توصية من التقنية</t>
  </si>
  <si>
    <t>جاري العمل مع التقنية على نظام مدمج في الدينامكس</t>
  </si>
  <si>
    <t>التقنية - القانونية</t>
  </si>
  <si>
    <t>تم اطلاق البرنامج وحاليا في مرحلة الاختبار</t>
  </si>
  <si>
    <t>نقل ملكية المولدات</t>
  </si>
  <si>
    <t>تم ارسال طلب النقل لوزارة التجارة - تمت المتابعة</t>
  </si>
  <si>
    <t>لازال تحت المراجعة</t>
  </si>
  <si>
    <t>هيكل التكاليف المثالي</t>
  </si>
  <si>
    <t>تعديل التكاليف وحذف التكاليف الغير مسيطر عليها</t>
  </si>
  <si>
    <t>وضع التكاليف التقديرية لمشاريع المقاولات لشركة اعمالنا</t>
  </si>
  <si>
    <t>تم الاستلام والتوجيه لادارة المشاريع للاعتماد (في انتظار م اشرف الأسبوع القادم)</t>
  </si>
  <si>
    <t>إدارة المشاريع - الاعتماد - بنهاية الأسبوع القادم</t>
  </si>
  <si>
    <t>وضع حل للمصادقة على ارصدة عملاء الأصول العقارية</t>
  </si>
  <si>
    <t>تم استلام التوصية</t>
  </si>
  <si>
    <t>عمل تطبيق لتمكين العملاء من المصادقة الكترونيا على ارصدتهم</t>
  </si>
  <si>
    <t>المتابعة مع الأصول العقارية</t>
  </si>
  <si>
    <t>لازال في انتظار عرض سعر جديد من شركة أخرى</t>
  </si>
  <si>
    <t>المهام النشطة لعام 2026 – لوحة المتابعة التنفيذية</t>
  </si>
  <si>
    <t>إجمالي المهام</t>
  </si>
  <si>
    <t>معدل الإنجاز</t>
  </si>
  <si>
    <t>متوسط الإنجاز %</t>
  </si>
  <si>
    <t>مهام 2026 النشطة</t>
  </si>
  <si>
    <t>مهام متأخرة 2026</t>
  </si>
  <si>
    <t>تقييم الأداء</t>
  </si>
  <si>
    <t>توصية</t>
  </si>
  <si>
    <t>مراجعة ربع سنوية</t>
  </si>
  <si>
    <t>تدخل مباشر من الرئيس التنفيذي</t>
  </si>
  <si>
    <t>خطة تحسين مطلوبة</t>
  </si>
  <si>
    <t>حافظ على الزخم</t>
  </si>
  <si>
    <t>المجموع الكلي</t>
  </si>
  <si>
    <t>دليل استخدام قاعدة البيانات المطورة</t>
  </si>
  <si>
    <t>📋 هيكل الملف</t>
  </si>
  <si>
    <t>قاعدة بيانات المهام</t>
  </si>
  <si>
    <t>جميع المهام التاريخية 2024-2026 في جدول واحد (428 صف)</t>
  </si>
  <si>
    <t>المهام النشطة 2026</t>
  </si>
  <si>
    <t>المهام الحالية فقط (94 مهمة) – للمتابعة اليومية</t>
  </si>
  <si>
    <t>لوحة أداء الأقسام</t>
  </si>
  <si>
    <t>تحليل أداء كل قسم تراكمياً</t>
  </si>
  <si>
    <t>دليل الاستخدام</t>
  </si>
  <si>
    <t>هذه الصفحة</t>
  </si>
  <si>
    <t>🎯 أعمدة يجب ملؤها</t>
  </si>
  <si>
    <t>الأولوية (E)</t>
  </si>
  <si>
    <t>اختر من القائمة: P1 عاجل / P2 مهم / P3 عادي</t>
  </si>
  <si>
    <t>الركيزة الاستراتيجية (F)</t>
  </si>
  <si>
    <t>اختر من القائمة: نمو الإيرادات / الامتثال والمخاطر / التميز التشغيلي / التحول الرقمي / الكفاءات والأفراد</t>
  </si>
  <si>
    <t>نسبة الإنجاز (H)</t>
  </si>
  <si>
    <t>أدخل رقماً من 0 إلى 100% (مثال: 75%)</t>
  </si>
  <si>
    <t>🚦 مؤشر المخاطر – القراءة</t>
  </si>
  <si>
    <t>🟢 في المسار</t>
  </si>
  <si>
    <t>المهمة تسير حسب الخطة – لا تدخل مطلوب</t>
  </si>
  <si>
    <t>🟡 تحتاج متابعة</t>
  </si>
  <si>
    <t>الإنجاز متأخر عن الوقت بـ 30%+ – يجب المراجعة</t>
  </si>
  <si>
    <t>🔴 متأخرة</t>
  </si>
  <si>
    <t>تجاوزت تاريخ الانتهاء ولم تكتمل – تدخل عاجل</t>
  </si>
  <si>
    <t>⚪ لم تبدأ</t>
  </si>
  <si>
    <t>المهمة لم تبدأ بعد</t>
  </si>
  <si>
    <t>🟢 مكتملة</t>
  </si>
  <si>
    <t>اكتملت المهمة</t>
  </si>
  <si>
    <t>🔍 نصائح الاستخدام</t>
  </si>
  <si>
    <t>الفلترة</t>
  </si>
  <si>
    <t>استخدم Auto Filter على أي عمود للتصفية حسب القسم أو الموظف أو الحالة</t>
  </si>
  <si>
    <t>البحث عن متأخرة</t>
  </si>
  <si>
    <t>فلتر عمود L على '🔴 متأخرة' لرؤية كل المهام المتأخرة فوراً</t>
  </si>
  <si>
    <t>تحديث أسبوعي</t>
  </si>
  <si>
    <t>حدّث نسبة الإنجاز والحالة كل أسبوع – المؤشرات تتحدث تلقائياً</t>
  </si>
  <si>
    <t>الأولوية أولاً</t>
  </si>
  <si>
    <t>ابدأ اجتماع المتابعة بفلترة P1 + 🔴 لتحديد أهم القرارات</t>
  </si>
  <si>
    <t>جاري العمل مع المورد لتحديد نطاق العمل والتسعير</t>
  </si>
  <si>
    <t>P2 - مهم</t>
  </si>
  <si>
    <t>التحول الرقمي</t>
  </si>
  <si>
    <t>P3 - عادي</t>
  </si>
  <si>
    <t>نمو الإيرادات</t>
  </si>
  <si>
    <t>الامتثال والمخاطر</t>
  </si>
  <si>
    <t>التميز التشغيلي</t>
  </si>
  <si>
    <t>ردت وزارة الزراعة بعدم الموافقة على اخذ اجرة</t>
  </si>
  <si>
    <t>اغلاق المشروع</t>
  </si>
  <si>
    <t>تم اصدار فاتورة التأمين على العيوب الخفية</t>
  </si>
  <si>
    <t xml:space="preserve">سداد الفاتورة </t>
  </si>
  <si>
    <t>تمت معالجة المشاكل التقنية</t>
  </si>
  <si>
    <t>تدريب المحاسبين</t>
  </si>
  <si>
    <t>تجهيز العقود بالقانونية</t>
  </si>
  <si>
    <t>P1 - عاجل</t>
  </si>
  <si>
    <t xml:space="preserve">تم رفع الطلبات على منصة فرز </t>
  </si>
  <si>
    <t>جاري العمل حسب خطة العمل</t>
  </si>
  <si>
    <t>تحولت إلى إدارة القضايا التخطيطية</t>
  </si>
  <si>
    <t>تم اعتماد الرئيس التنفيذي - حسب افادة نائب الرئيس</t>
  </si>
  <si>
    <t>المسؤول</t>
  </si>
  <si>
    <t xml:space="preserve">تم العرض على 3 مطورين وفي انتظار عروضهم </t>
  </si>
  <si>
    <t>290 مليون جاهز</t>
  </si>
  <si>
    <t>لوحة أداء الأقسام – التحليل التراكمي (2024-2026)</t>
  </si>
  <si>
    <t>الإدارة القانونية</t>
  </si>
  <si>
    <t>المرافق</t>
  </si>
  <si>
    <t xml:space="preserve">عقد المقاول وعقد الاستشاري جاهزين وبداية تنفيذ المشروع بعد العيد </t>
  </si>
  <si>
    <t>بعد الرفع المساحي للموقع يوجد زوائد على الطبيعة خارج حدود الصك وجاري العمل على حل الإشكالية عن طريق إدارة أخرى لديهم</t>
  </si>
  <si>
    <t>جاري العمل حسب الخطة</t>
  </si>
  <si>
    <t>مقترح شطب مخزون التجارة</t>
  </si>
  <si>
    <t>تم الارسال للإدارة المالية</t>
  </si>
  <si>
    <t>تقرير لجنة المراجعة</t>
  </si>
  <si>
    <t>تصنيف اعمالنا</t>
  </si>
  <si>
    <t>تقرير الاقفال السنوي</t>
  </si>
  <si>
    <t>تقرير المراجعة</t>
  </si>
  <si>
    <t>الاستشاري يرفع التقارير -على منصة بلدي</t>
  </si>
  <si>
    <t>منتهي</t>
  </si>
  <si>
    <t>تم ارسال ايميل للبدء في الاستخدام بحد اقصى الخميس 2/4/26</t>
  </si>
  <si>
    <t>تم التحديث 29/3</t>
  </si>
  <si>
    <t>تم طلب التحديث 29/3</t>
  </si>
  <si>
    <t>تم اصدار الوثيقة</t>
  </si>
  <si>
    <t>ادارة أنظمة البناء  و سوف يتم دراسة الموضوع والبت</t>
  </si>
  <si>
    <t>جاري العمل - على ان يتم الانتهاء بنهاية شهر ابريل</t>
  </si>
  <si>
    <t>تم التذكير 29/03/2026</t>
  </si>
  <si>
    <t>جاري الاعداد مع المراجع الخارجي</t>
  </si>
  <si>
    <t>المراجعة الداخلية</t>
  </si>
  <si>
    <t>امتياز بكش</t>
  </si>
  <si>
    <t>مراجعة وزاره الطاقة على ارض خميس مشيط موافقة من الطاقة الى أرامكو الى الان ما ردت</t>
  </si>
  <si>
    <t>جازع الحارثي</t>
  </si>
  <si>
    <t>تمت المراجعة بواسطة جازع الحارثي</t>
  </si>
  <si>
    <t>التصنيف لشركة اعمالنا للمقاولات</t>
  </si>
  <si>
    <t>جاري العمل على اصدار خطاب استثاء</t>
  </si>
  <si>
    <t>يوسف حامد</t>
  </si>
  <si>
    <t>تم ارسال الوثيقة للاستشاري لبدء العمل على رفع التقارير</t>
  </si>
  <si>
    <t>كاميرات حفر الباطن</t>
  </si>
  <si>
    <t xml:space="preserve">جاري العمل على اختيار مورد </t>
  </si>
  <si>
    <t>تعديل السجل التجاري للقابضة</t>
  </si>
  <si>
    <t>القانونية</t>
  </si>
  <si>
    <t>منصور</t>
  </si>
  <si>
    <t>جاري المتابعة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</si>
</sst>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6" x14ac:knownFonts="1">
    <font>
      <sz val="11"/>
      <color theme="1"/>
      <name val="Calibri"/>
      <family val="2"/>
      <charset val="1"/>
    </font>
    <font>
      <b/>
      <sz val="11"/>
      <color rgb="FFFFFFFF"/>
      <name val="Arial"/>
      <family val="2"/>
    </font>
    <font>
      <sz val="10"/>
      <color rgb="FF1A1A1A"/>
      <name val="Arial"/>
      <family val="2"/>
    </font>
    <font>
      <b/>
      <sz val="10"/>
      <color rgb="FF1F2D40"/>
      <name val="Arial"/>
      <family val="2"/>
    </font>
    <font>
      <b/>
      <sz val="14"/>
      <color rgb="FFFFFFFF"/>
      <name val="Arial"/>
      <family val="2"/>
    </font>
    <font>
      <b/>
      <sz val="16"/>
      <color rgb="FFFFFFFF"/>
      <name val="Tajawal"/>
    </font>
    <font>
      <sz val="11"/>
      <color theme="1"/>
      <name val="Tajawal"/>
    </font>
    <font>
      <sz val="10"/>
      <color rgb="FF1A1A1A"/>
      <name val="Tajawal"/>
    </font>
    <font>
      <b/>
      <sz val="10"/>
      <color rgb="FF1A1A1A"/>
      <name val="Tajawal"/>
    </font>
    <font>
      <b/>
      <sz val="10"/>
      <color rgb="FFFFFFFF"/>
      <name val="Tajawal"/>
    </font>
    <font>
      <sz val="10"/>
      <color theme="1"/>
      <name val="Tajawal"/>
    </font>
    <font>
      <b/>
      <sz val="10"/>
      <color theme="1"/>
      <name val="Tajawal"/>
    </font>
    <font>
      <b/>
      <sz val="11"/>
      <color rgb="FFFFFFFF"/>
      <name val="Tajawal"/>
    </font>
    <font>
      <b/>
      <sz val="10"/>
      <color rgb="FF1F2D40"/>
      <name val="Tajawal"/>
    </font>
    <font>
      <b/>
      <sz val="10"/>
      <color rgb="FFC0392B"/>
      <name val="Tajawal"/>
    </font>
    <font>
      <b/>
      <sz val="10"/>
      <name val="Tajawal"/>
    </font>
  </fonts>
  <fills count="13">
    <fill>
      <patternFill patternType="none"/>
    </fill>
    <fill>
      <patternFill patternType="gray125"/>
    </fill>
    <fill>
      <patternFill patternType="solid">
        <fgColor rgb="FF1F2D40"/>
        <bgColor rgb="FF2E4057"/>
      </patternFill>
    </fill>
    <fill>
      <patternFill patternType="solid">
        <fgColor rgb="FF2E4057"/>
        <bgColor rgb="FF1F2D40"/>
      </patternFill>
    </fill>
    <fill>
      <patternFill patternType="solid">
        <fgColor rgb="FFFFFFFF"/>
        <bgColor rgb="FFFEF9E7"/>
      </patternFill>
    </fill>
    <fill>
      <patternFill patternType="solid">
        <fgColor rgb="FFFEF9E7"/>
        <bgColor rgb="FFF2F3F4"/>
      </patternFill>
    </fill>
    <fill>
      <patternFill patternType="solid">
        <fgColor rgb="FFF4ECF7"/>
        <bgColor rgb="FFF2F3F4"/>
      </patternFill>
    </fill>
    <fill>
      <patternFill patternType="solid">
        <fgColor rgb="FFD6EAF8"/>
        <bgColor rgb="FFD5F5E3"/>
      </patternFill>
    </fill>
    <fill>
      <patternFill patternType="solid">
        <fgColor rgb="FFF2F3F4"/>
        <bgColor rgb="FFF4ECF7"/>
      </patternFill>
    </fill>
    <fill>
      <patternFill patternType="solid">
        <fgColor rgb="FFD5F5E3"/>
        <bgColor rgb="FFD6EAF8"/>
      </patternFill>
    </fill>
    <fill>
      <patternFill patternType="solid">
        <fgColor rgb="FFFDEBD0"/>
        <bgColor rgb="FFFCE4E4"/>
      </patternFill>
    </fill>
    <fill>
      <patternFill patternType="solid">
        <fgColor rgb="FF048A81"/>
        <bgColor rgb="FF008080"/>
      </patternFill>
    </fill>
    <fill>
      <patternFill patternType="solid">
        <fgColor rgb="FF002060"/>
        <bgColor rgb="FF008080"/>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bottom style="thin">
        <color rgb="FFCCCCCC"/>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style="thin">
        <color rgb="FFCCCCCC"/>
      </left>
      <right/>
      <top style="thin">
        <color rgb="FFCCCCCC"/>
      </top>
      <bottom/>
      <diagonal/>
    </border>
    <border>
      <left style="thin">
        <color rgb="FFCCCCCC"/>
      </left>
      <right style="thin">
        <color rgb="FFCCCCCC"/>
      </right>
      <top style="thin">
        <color rgb="FFCCCCCC"/>
      </top>
      <bottom/>
      <diagonal/>
    </border>
    <border>
      <left/>
      <right style="thin">
        <color rgb="FFCCCCCC"/>
      </right>
      <top style="thin">
        <color rgb="FFCCCCCC"/>
      </top>
      <bottom/>
      <diagonal/>
    </border>
  </borders>
  <cellStyleXfs count="1">
    <xf numFmtId="0" fontId="0" fillId="0" borderId="0"/>
  </cellStyleXfs>
  <cellXfs count="67">
    <xf numFmtId="0" fontId="0" fillId="0" borderId="0" xfId="0"/>
    <xf numFmtId="0" fontId="2" fillId="4" borderId="1" xfId="0" applyFont="1" applyFill="1" applyBorder="1" applyAlignment="1">
      <alignment horizontal="right" vertical="center" wrapText="1"/>
    </xf>
    <xf numFmtId="0" fontId="0" fillId="0" borderId="1" xfId="0" applyBorder="1"/>
    <xf numFmtId="0" fontId="3" fillId="8" borderId="1" xfId="0" applyFont="1" applyFill="1" applyBorder="1" applyAlignment="1">
      <alignment horizontal="right" vertical="center"/>
    </xf>
    <xf numFmtId="0" fontId="6" fillId="0" borderId="0" xfId="0" applyFont="1"/>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9" fontId="7" fillId="4" borderId="1" xfId="0" applyNumberFormat="1" applyFont="1" applyFill="1" applyBorder="1" applyAlignment="1">
      <alignment horizontal="center" vertical="center" wrapText="1"/>
    </xf>
    <xf numFmtId="14" fontId="7" fillId="4" borderId="1" xfId="0" applyNumberFormat="1" applyFont="1" applyFill="1" applyBorder="1" applyAlignment="1">
      <alignment horizontal="center" vertical="center" wrapText="1"/>
    </xf>
    <xf numFmtId="1"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9" fontId="7" fillId="8" borderId="1" xfId="0" applyNumberFormat="1" applyFont="1" applyFill="1" applyBorder="1" applyAlignment="1">
      <alignment horizontal="center" vertical="center" wrapText="1"/>
    </xf>
    <xf numFmtId="14" fontId="7" fillId="8" borderId="1" xfId="0" applyNumberFormat="1" applyFont="1" applyFill="1" applyBorder="1" applyAlignment="1">
      <alignment horizontal="center" vertical="center" wrapText="1"/>
    </xf>
    <xf numFmtId="0" fontId="10" fillId="0" borderId="0" xfId="0" applyFont="1"/>
    <xf numFmtId="0" fontId="11" fillId="0" borderId="0" xfId="0" applyFont="1"/>
    <xf numFmtId="0" fontId="10" fillId="0" borderId="0" xfId="0" applyFont="1" applyAlignment="1">
      <alignment wrapText="1"/>
    </xf>
    <xf numFmtId="0" fontId="7" fillId="4" borderId="1" xfId="0" applyFont="1" applyFill="1" applyBorder="1" applyAlignment="1">
      <alignment horizontal="center" vertical="center" wrapText="1" readingOrder="2"/>
    </xf>
    <xf numFmtId="0" fontId="7" fillId="8" borderId="1" xfId="0" applyFont="1" applyFill="1" applyBorder="1" applyAlignment="1">
      <alignment horizontal="center" vertical="center" wrapText="1" readingOrder="2"/>
    </xf>
    <xf numFmtId="0" fontId="6" fillId="0" borderId="0" xfId="0" applyFont="1" applyAlignment="1">
      <alignment readingOrder="2"/>
    </xf>
    <xf numFmtId="0" fontId="12" fillId="3" borderId="1" xfId="0" applyFont="1" applyFill="1" applyBorder="1" applyAlignment="1">
      <alignment horizontal="center" vertical="center" wrapText="1"/>
    </xf>
    <xf numFmtId="0" fontId="13" fillId="4" borderId="1" xfId="0" applyFont="1" applyFill="1" applyBorder="1" applyAlignment="1">
      <alignment horizontal="right" vertical="center" wrapText="1"/>
    </xf>
    <xf numFmtId="164" fontId="8" fillId="4" borderId="1" xfId="0" applyNumberFormat="1" applyFont="1" applyFill="1" applyBorder="1" applyAlignment="1">
      <alignment horizontal="center" vertical="center" wrapText="1"/>
    </xf>
    <xf numFmtId="164" fontId="7" fillId="4"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8" borderId="1" xfId="0" applyFont="1" applyFill="1" applyBorder="1" applyAlignment="1">
      <alignment horizontal="right" vertical="center" wrapText="1"/>
    </xf>
    <xf numFmtId="164" fontId="8" fillId="8" borderId="1" xfId="0" applyNumberFormat="1" applyFont="1" applyFill="1" applyBorder="1" applyAlignment="1">
      <alignment horizontal="center" vertical="center" wrapText="1"/>
    </xf>
    <xf numFmtId="164" fontId="7" fillId="8" borderId="1" xfId="0" applyNumberFormat="1" applyFont="1" applyFill="1" applyBorder="1" applyAlignment="1">
      <alignment horizontal="center" vertical="center" wrapText="1"/>
    </xf>
    <xf numFmtId="0" fontId="14" fillId="8"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164" fontId="12" fillId="2" borderId="1"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7" fillId="8" borderId="1" xfId="0" applyFont="1" applyFill="1" applyBorder="1" applyAlignment="1">
      <alignment horizontal="right" vertical="center" wrapText="1"/>
    </xf>
    <xf numFmtId="0" fontId="7" fillId="4" borderId="1" xfId="0" applyFont="1" applyFill="1" applyBorder="1" applyAlignment="1">
      <alignment horizontal="right" vertical="center" wrapText="1"/>
    </xf>
    <xf numFmtId="0" fontId="7" fillId="10"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5" xfId="0" applyFont="1" applyFill="1" applyBorder="1" applyAlignment="1">
      <alignment horizontal="center" vertical="center" wrapText="1" readingOrder="2"/>
    </xf>
    <xf numFmtId="0" fontId="9" fillId="2" borderId="6"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7" fillId="7" borderId="8" xfId="0" applyFont="1" applyFill="1" applyBorder="1" applyAlignment="1">
      <alignment horizontal="center" vertical="center" wrapText="1"/>
    </xf>
    <xf numFmtId="9" fontId="7" fillId="8" borderId="8" xfId="0" applyNumberFormat="1" applyFont="1" applyFill="1" applyBorder="1" applyAlignment="1">
      <alignment horizontal="center" vertical="center" wrapText="1"/>
    </xf>
    <xf numFmtId="14" fontId="7" fillId="8" borderId="8" xfId="0" applyNumberFormat="1" applyFont="1" applyFill="1" applyBorder="1" applyAlignment="1">
      <alignment horizontal="center" vertical="center" wrapText="1"/>
    </xf>
    <xf numFmtId="1" fontId="8" fillId="0" borderId="8" xfId="0" applyNumberFormat="1" applyFont="1" applyBorder="1" applyAlignment="1">
      <alignment horizontal="center" vertical="center" wrapText="1"/>
    </xf>
    <xf numFmtId="0" fontId="8" fillId="0" borderId="8" xfId="0" applyFont="1" applyBorder="1" applyAlignment="1">
      <alignment horizontal="center" vertical="center" wrapText="1"/>
    </xf>
    <xf numFmtId="0" fontId="7" fillId="8" borderId="8" xfId="0" applyFont="1" applyFill="1" applyBorder="1" applyAlignment="1">
      <alignment horizontal="center" vertical="center" wrapText="1" readingOrder="2"/>
    </xf>
    <xf numFmtId="0" fontId="7" fillId="8" borderId="9" xfId="0" applyFont="1" applyFill="1" applyBorder="1" applyAlignment="1">
      <alignment horizontal="center" vertical="center" wrapText="1"/>
    </xf>
    <xf numFmtId="0" fontId="5" fillId="12" borderId="0" xfId="0" applyFont="1" applyFill="1" applyAlignment="1">
      <alignment horizontal="centerContinuous" vertical="center" wrapText="1"/>
    </xf>
    <xf numFmtId="0" fontId="5" fillId="12" borderId="0" xfId="0" applyFont="1" applyFill="1" applyAlignment="1">
      <alignment horizontal="centerContinuous" vertical="center" wrapText="1" readingOrder="2"/>
    </xf>
    <xf numFmtId="0" fontId="5" fillId="2" borderId="0" xfId="0" applyFont="1" applyFill="1" applyAlignment="1">
      <alignment horizontal="center" vertical="center" wrapText="1"/>
    </xf>
    <xf numFmtId="0" fontId="5" fillId="12" borderId="0" xfId="0" applyFont="1" applyFill="1" applyAlignment="1">
      <alignment horizontal="center" vertical="center" wrapText="1"/>
    </xf>
    <xf numFmtId="0" fontId="4" fillId="2" borderId="0" xfId="0" applyFont="1" applyFill="1" applyAlignment="1">
      <alignment horizontal="center" vertical="center" wrapText="1"/>
    </xf>
    <xf numFmtId="0" fontId="1" fillId="11" borderId="2" xfId="0" applyFont="1" applyFill="1" applyBorder="1" applyAlignment="1">
      <alignment horizontal="center" vertical="center" wrapText="1"/>
    </xf>
  </cellXfs>
  <cellStyles count="1">
    <cellStyle name="Normal" xfId="0" builtinId="0"/>
  </cellStyles>
  <dxfs count="47">
    <dxf>
      <fill>
        <patternFill>
          <bgColor rgb="FFFCE4E4"/>
        </patternFill>
      </fill>
    </dxf>
    <dxf>
      <fill>
        <patternFill>
          <bgColor rgb="FFFCE4E4"/>
        </patternFill>
      </fill>
    </dxf>
    <dxf>
      <font>
        <b/>
        <sz val="10"/>
        <color rgb="FFC0392B"/>
        <name val="Arial"/>
        <charset val="1"/>
      </font>
      <fill>
        <patternFill>
          <bgColor rgb="FFFADBD8"/>
        </patternFill>
      </fill>
    </dxf>
    <dxf>
      <font>
        <b/>
        <sz val="10"/>
        <color rgb="FF7D6608"/>
        <name val="Arial"/>
        <charset val="1"/>
      </font>
      <fill>
        <patternFill>
          <bgColor rgb="FFFDEBD0"/>
        </patternFill>
      </fill>
    </dxf>
    <dxf>
      <font>
        <b/>
        <sz val="10"/>
        <color rgb="FF1E8449"/>
        <name val="Arial"/>
        <charset val="1"/>
      </font>
      <fill>
        <patternFill>
          <bgColor rgb="FFD5F5E3"/>
        </patternFill>
      </fill>
    </dxf>
    <dxf>
      <font>
        <b/>
        <sz val="10"/>
        <color rgb="FFC0392B"/>
        <name val="Arial"/>
        <charset val="1"/>
      </font>
      <fill>
        <patternFill>
          <bgColor rgb="FFFADBD8"/>
        </patternFill>
      </fill>
    </dxf>
    <dxf>
      <font>
        <b/>
        <sz val="10"/>
        <color rgb="FFC0392B"/>
        <name val="Arial"/>
        <charset val="1"/>
      </font>
      <fill>
        <patternFill>
          <bgColor rgb="FFFADBD8"/>
        </patternFill>
      </fill>
    </dxf>
    <dxf>
      <font>
        <b/>
        <sz val="10"/>
        <color rgb="FF7D6608"/>
        <name val="Arial"/>
        <charset val="1"/>
      </font>
      <fill>
        <patternFill>
          <bgColor rgb="FFFDEBD0"/>
        </patternFill>
      </fill>
    </dxf>
    <dxf>
      <font>
        <b/>
        <sz val="10"/>
        <color rgb="FF1E8449"/>
        <name val="Arial"/>
        <charset val="1"/>
      </font>
      <fill>
        <patternFill>
          <bgColor rgb="FFD5F5E3"/>
        </patternFill>
      </fill>
    </dxf>
    <dxf>
      <font>
        <b/>
        <sz val="10"/>
        <color rgb="FF1E8449"/>
        <name val="Arial"/>
        <charset val="1"/>
      </font>
      <fill>
        <patternFill>
          <bgColor rgb="FFD5F5E3"/>
        </patternFill>
      </fill>
    </dxf>
    <dxf>
      <fill>
        <patternFill>
          <bgColor rgb="FFFCE4E4"/>
        </patternFill>
      </fill>
    </dxf>
    <dxf>
      <fill>
        <patternFill>
          <bgColor rgb="FFFCE4E4"/>
        </patternFill>
      </fill>
    </dxf>
    <dxf>
      <font>
        <b/>
        <sz val="10"/>
        <color rgb="FF1E8449"/>
        <name val="Arial"/>
        <charset val="1"/>
      </font>
      <fill>
        <patternFill>
          <bgColor rgb="FFD5F5E3"/>
        </patternFill>
      </fill>
    </dxf>
    <dxf>
      <font>
        <b/>
        <sz val="10"/>
        <color rgb="FF7D6608"/>
        <name val="Arial"/>
        <charset val="1"/>
      </font>
      <fill>
        <patternFill>
          <bgColor rgb="FFFDEBD0"/>
        </patternFill>
      </fill>
    </dxf>
    <dxf>
      <font>
        <b/>
        <sz val="10"/>
        <color rgb="FFC0392B"/>
        <name val="Arial"/>
        <charset val="1"/>
      </font>
      <fill>
        <patternFill>
          <bgColor rgb="FFFADBD8"/>
        </patternFill>
      </fill>
    </dxf>
    <dxf>
      <fill>
        <patternFill>
          <bgColor rgb="FFFCE4E4"/>
        </patternFill>
      </fill>
    </dxf>
    <dxf>
      <fill>
        <patternFill>
          <bgColor rgb="FFFCE4E4"/>
        </patternFill>
      </fill>
    </dxf>
    <dxf>
      <font>
        <b/>
        <sz val="10"/>
        <color rgb="FF1E8449"/>
        <name val="Arial"/>
        <charset val="1"/>
      </font>
      <fill>
        <patternFill>
          <bgColor rgb="FFD5F5E3"/>
        </patternFill>
      </fill>
    </dxf>
    <dxf>
      <font>
        <b/>
        <sz val="10"/>
        <color rgb="FF7D6608"/>
        <name val="Arial"/>
        <charset val="1"/>
      </font>
      <fill>
        <patternFill>
          <bgColor rgb="FFFDEBD0"/>
        </patternFill>
      </fill>
    </dxf>
    <dxf>
      <font>
        <b/>
        <sz val="10"/>
        <color rgb="FFC0392B"/>
        <name val="Arial"/>
        <charset val="1"/>
      </font>
      <fill>
        <patternFill>
          <bgColor rgb="FFFADBD8"/>
        </patternFill>
      </fill>
    </dxf>
    <dxf>
      <fill>
        <patternFill>
          <bgColor rgb="FFFCE4E4"/>
        </patternFill>
      </fill>
    </dxf>
    <dxf>
      <fill>
        <patternFill>
          <bgColor rgb="FFFCE4E4"/>
        </patternFill>
      </fill>
    </dxf>
    <dxf>
      <font>
        <b val="0"/>
        <i val="0"/>
        <strike val="0"/>
        <condense val="0"/>
        <extend val="0"/>
        <outline val="0"/>
        <shadow val="0"/>
        <u val="none"/>
        <vertAlign val="baseline"/>
        <sz val="10"/>
        <color rgb="FF1A1A1A"/>
        <name val="Tajawal"/>
        <scheme val="none"/>
      </font>
      <fill>
        <patternFill patternType="solid">
          <fgColor rgb="FFF4ECF7"/>
          <bgColor rgb="FFF2F3F4"/>
        </patternFill>
      </fill>
      <alignment horizontal="center"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fill>
        <patternFill patternType="solid">
          <fgColor rgb="FFF4ECF7"/>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fill>
        <patternFill patternType="solid">
          <fgColor rgb="FFF4ECF7"/>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fill>
        <patternFill patternType="solid">
          <fgColor rgb="FFF4ECF7"/>
          <bgColor rgb="FFF2F3F4"/>
        </patternFill>
      </fill>
      <alignment horizontal="center" vertical="center" textRotation="0" wrapText="1" indent="0" justifyLastLine="0" shrinkToFit="0" readingOrder="2"/>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0"/>
        <color rgb="FF1A1A1A"/>
        <name val="Tajawal"/>
        <scheme val="none"/>
      </font>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0"/>
        <color rgb="FF1A1A1A"/>
        <name val="Tajawal"/>
        <scheme val="none"/>
      </font>
      <numFmt numFmtId="1" formatCode="0"/>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numFmt numFmtId="19" formatCode="dd/mm/yyyy"/>
      <fill>
        <patternFill patternType="solid">
          <fgColor rgb="FFF4ECF7"/>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numFmt numFmtId="19" formatCode="dd/mm/yyyy"/>
      <fill>
        <patternFill patternType="solid">
          <fgColor rgb="FFF4ECF7"/>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numFmt numFmtId="13" formatCode="0%"/>
      <fill>
        <patternFill patternType="solid">
          <fgColor rgb="FFF4ECF7"/>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fill>
        <patternFill patternType="solid">
          <fgColor rgb="FFD5F5E3"/>
          <bgColor rgb="FFD6EAF8"/>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fill>
        <patternFill patternType="solid">
          <fgColor rgb="FFF2F3F4"/>
          <bgColor rgb="FFF4ECF7"/>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fill>
        <patternFill patternType="solid">
          <fgColor rgb="FFF2F3F4"/>
          <bgColor rgb="FFFEF9E7"/>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fill>
        <patternFill patternType="solid">
          <fgColor rgb="FFF4ECF7"/>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fill>
        <patternFill patternType="solid">
          <fgColor rgb="FFF4ECF7"/>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fill>
        <patternFill patternType="solid">
          <fgColor rgb="FFF4ECF7"/>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A1A1A"/>
        <name val="Tajawal"/>
        <scheme val="none"/>
      </font>
      <fill>
        <patternFill patternType="solid">
          <fgColor rgb="FFF4ECF7"/>
          <bgColor rgb="FFF2F3F4"/>
        </patternFill>
      </fill>
      <alignment horizontal="center"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0"/>
        <color rgb="FFFFFFFF"/>
        <name val="Tajawal"/>
        <scheme val="none"/>
      </font>
      <fill>
        <patternFill patternType="solid">
          <fgColor rgb="FF2E4057"/>
          <bgColor rgb="FF1F2D40"/>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color rgb="FF002060"/>
      </font>
      <fill>
        <patternFill patternType="solid">
          <fgColor rgb="FF002060"/>
          <bgColor rgb="FF002060"/>
        </patternFill>
      </fill>
    </dxf>
    <dxf>
      <font>
        <color rgb="FF002060"/>
      </font>
      <fill>
        <patternFill patternType="solid">
          <fgColor rgb="FF002060"/>
          <bgColor rgb="FF002060"/>
        </patternFill>
      </fill>
    </dxf>
    <dxf>
      <font>
        <b val="0"/>
        <i val="0"/>
        <sz val="10"/>
        <color theme="0"/>
        <name val="Tajawal"/>
        <scheme val="none"/>
      </font>
      <fill>
        <patternFill patternType="solid">
          <fgColor rgb="FF002060"/>
          <bgColor rgb="FF002060"/>
        </patternFill>
      </fill>
    </dxf>
    <dxf>
      <font>
        <color rgb="FF002060"/>
      </font>
      <fill>
        <patternFill patternType="solid">
          <fgColor rgb="FF002060"/>
          <bgColor rgb="FF002060"/>
        </patternFill>
      </fill>
    </dxf>
    <dxf>
      <font>
        <color rgb="FF002060"/>
      </font>
      <fill>
        <patternFill>
          <fgColor rgb="FF002060"/>
        </patternFill>
      </fill>
    </dxf>
  </dxfs>
  <tableStyles count="5" defaultTableStyle="TableStyleMedium2" defaultPivotStyle="PivotStyleLight16">
    <tableStyle name="Slicer Style 1" pivot="0" table="0" count="1" xr9:uid="{E271F346-ED18-44C4-90F7-7442779414DB}">
      <tableStyleElement type="wholeTable" dxfId="46"/>
    </tableStyle>
    <tableStyle name="Slicer Style 1 2" pivot="0" table="0" count="5" xr9:uid="{1801242B-F811-4AFD-95C2-8CCCF85852E5}">
      <tableStyleElement type="wholeTable" dxfId="45"/>
    </tableStyle>
    <tableStyle name="Slicer Style 1 2 2" pivot="0" table="0" count="1" xr9:uid="{B2A90B4A-391E-4CC0-878D-3A3381256E65}">
      <tableStyleElement type="wholeTable" dxfId="44"/>
    </tableStyle>
    <tableStyle name="Slicer Style 1 2 3" pivot="0" table="0" count="5" xr9:uid="{B8FA4EAD-4799-4EAD-B51F-5EA7F292EB30}">
      <tableStyleElement type="wholeTable" dxfId="43"/>
    </tableStyle>
    <tableStyle name="Slicer Style 1 2 4" pivot="0" table="0" count="6" xr9:uid="{F004BDA8-D56E-4EE3-AD45-0263D2244122}">
      <tableStyleElement type="wholeTable" dxfId="42"/>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7D6608"/>
      <rgbColor rgb="FF800080"/>
      <rgbColor rgb="FF048A81"/>
      <rgbColor rgb="FFCCCCCC"/>
      <rgbColor rgb="FF808080"/>
      <rgbColor rgb="FF9999FF"/>
      <rgbColor rgb="FF993366"/>
      <rgbColor rgb="FFFEF9E7"/>
      <rgbColor rgb="FFD6EAF8"/>
      <rgbColor rgb="FF660066"/>
      <rgbColor rgb="FFFF8080"/>
      <rgbColor rgb="FF0066CC"/>
      <rgbColor rgb="FFF4ECF7"/>
      <rgbColor rgb="FF000080"/>
      <rgbColor rgb="FFFF00FF"/>
      <rgbColor rgb="FFFFFF00"/>
      <rgbColor rgb="FF00FFFF"/>
      <rgbColor rgb="FF800080"/>
      <rgbColor rgb="FF800000"/>
      <rgbColor rgb="FF008080"/>
      <rgbColor rgb="FF0000FF"/>
      <rgbColor rgb="FF00CCFF"/>
      <rgbColor rgb="FFF2F3F4"/>
      <rgbColor rgb="FFD5F5E3"/>
      <rgbColor rgb="FFFDEBD0"/>
      <rgbColor rgb="FFFCE4E4"/>
      <rgbColor rgb="FFFF99CC"/>
      <rgbColor rgb="FFCC99FF"/>
      <rgbColor rgb="FFFADBD8"/>
      <rgbColor rgb="FF3366FF"/>
      <rgbColor rgb="FF33CCCC"/>
      <rgbColor rgb="FF99CC00"/>
      <rgbColor rgb="FFFFCC00"/>
      <rgbColor rgb="FFFF9900"/>
      <rgbColor rgb="FFFF6600"/>
      <rgbColor rgb="FF666699"/>
      <rgbColor rgb="FF969696"/>
      <rgbColor rgb="FF003366"/>
      <rgbColor rgb="FF1E8449"/>
      <rgbColor rgb="FF003300"/>
      <rgbColor rgb="FF1A1A1A"/>
      <rgbColor rgb="FFC0392B"/>
      <rgbColor rgb="FF993366"/>
      <rgbColor rgb="FF2E4057"/>
      <rgbColor rgb="FF1F2D40"/>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13">
        <dxf>
          <font>
            <b val="0"/>
            <i val="0"/>
            <sz val="10"/>
            <name val="Tajawal"/>
          </font>
        </dxf>
        <dxf>
          <font>
            <b/>
            <i val="0"/>
            <sz val="10"/>
            <name val="Tajawal"/>
          </font>
        </dxf>
        <dxf>
          <font>
            <b/>
            <i val="0"/>
            <sz val="10"/>
            <color theme="0"/>
            <name val="Tajawal"/>
          </font>
        </dxf>
        <dxf>
          <font>
            <b/>
            <i val="0"/>
            <sz val="10"/>
            <color theme="0"/>
            <name val="Tajawal"/>
            <scheme val="none"/>
          </font>
        </dxf>
        <dxf>
          <font>
            <b val="0"/>
            <i val="0"/>
            <sz val="10"/>
            <color theme="0"/>
            <name val="Tajawal"/>
          </font>
        </dxf>
        <dxf>
          <font>
            <b/>
            <i val="0"/>
            <sz val="10"/>
            <color theme="0"/>
            <name val="Tajawal"/>
          </font>
        </dxf>
        <dxf>
          <font>
            <b/>
            <i val="0"/>
            <sz val="10"/>
            <color theme="0"/>
            <name val="Tajawal"/>
          </font>
        </dxf>
        <dxf>
          <font>
            <b/>
            <i val="0"/>
            <sz val="10"/>
            <color theme="0"/>
            <name val="Tajawal"/>
            <scheme val="none"/>
          </font>
        </dxf>
        <dxf>
          <font>
            <b val="0"/>
            <i val="0"/>
            <sz val="10"/>
            <color theme="0"/>
            <name val="Tajawal"/>
          </font>
        </dxf>
        <dxf>
          <font>
            <b/>
            <i val="0"/>
            <sz val="10"/>
            <name val="Tajawal"/>
          </font>
        </dxf>
        <dxf>
          <font>
            <b/>
            <i val="0"/>
            <sz val="10"/>
            <color theme="0"/>
            <name val="Tajawal"/>
          </font>
        </dxf>
        <dxf>
          <font>
            <b/>
            <i val="0"/>
            <sz val="10"/>
            <color theme="0"/>
            <name val="Tajawal"/>
            <scheme val="none"/>
          </font>
        </dxf>
        <dxf>
          <font>
            <b val="0"/>
            <i val="0"/>
            <sz val="10"/>
            <color theme="0"/>
            <name val="Tajawal"/>
          </font>
        </dxf>
      </x14:dxfs>
    </ext>
    <ext xmlns:x14="http://schemas.microsoft.com/office/spreadsheetml/2009/9/main" uri="{EB79DEF2-80B8-43e5-95BD-54CBDDF9020C}">
      <x14:slicerStyles defaultSlicerStyle="SlicerStyleLight1">
        <x14:slicerStyle name="Slicer Style 1"/>
        <x14:slicerStyle name="Slicer Style 1 2">
          <x14:slicerStyleElements>
            <x14:slicerStyleElement type="unselectedItemWithData" dxfId="12"/>
            <x14:slicerStyleElement type="selectedItemWithData" dxfId="11"/>
            <x14:slicerStyleElement type="hoveredUnselectedItemWithData" dxfId="10"/>
            <x14:slicerStyleElement type="hoveredSelectedItemWithData" dxfId="9"/>
          </x14:slicerStyleElements>
        </x14:slicerStyle>
        <x14:slicerStyle name="Slicer Style 1 2 2"/>
        <x14:slicerStyle name="Slicer Style 1 2 3">
          <x14:slicerStyleElements>
            <x14:slicerStyleElement type="unselectedItemWithData" dxfId="8"/>
            <x14:slicerStyleElement type="selectedItemWithData" dxfId="7"/>
            <x14:slicerStyleElement type="hoveredUnselectedItemWithData" dxfId="6"/>
            <x14:slicerStyleElement type="hoveredSelectedItemWithData" dxfId="5"/>
          </x14:slicerStyleElements>
        </x14:slicerStyle>
        <x14:slicerStyle name="Slicer Style 1 2 4">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CFFCFA-D5FF-4AB3-9E00-AAAB37A19414}" name="Table1" displayName="Table1" ref="A2:P97" totalsRowShown="0" headerRowDxfId="41" headerRowBorderDxfId="40" tableBorderDxfId="39" totalsRowBorderDxfId="38">
  <autoFilter ref="A2:P97" xr:uid="{3FCFFCFA-D5FF-4AB3-9E00-AAAB37A19414}">
    <filterColumn colId="11">
      <filters>
        <filter val="🔴 متأخرة"/>
        <filter val="🟢 في المسار"/>
      </filters>
    </filterColumn>
  </autoFilter>
  <tableColumns count="16">
    <tableColumn id="1" xr3:uid="{3F5FFA46-E572-42A5-809F-09B0010CB6A4}" name="#" dataDxfId="37"/>
    <tableColumn id="2" xr3:uid="{1390F231-3632-425C-987C-20A5B2619289}" name="المهمة" dataDxfId="36"/>
    <tableColumn id="3" xr3:uid="{A91E37CB-7AAC-415B-A4CA-14C92368D562}" name="القسم" dataDxfId="35"/>
    <tableColumn id="4" xr3:uid="{866C32FC-847A-4B0B-A8AF-4A71F1C0379F}" name="المسؤول" dataDxfId="34"/>
    <tableColumn id="5" xr3:uid="{9E4E4E2D-7594-4542-8C64-5B239661A151}" name="الأولوية" dataDxfId="33"/>
    <tableColumn id="6" xr3:uid="{D0FAF95C-7EC4-4B88-BF33-C364AA7089CC}" name="الركيزة الاستراتيجية" dataDxfId="32"/>
    <tableColumn id="7" xr3:uid="{5B9A0712-EF0E-4CE8-A8EC-C14B534C3CC9}" name="الحالة" dataDxfId="31"/>
    <tableColumn id="8" xr3:uid="{42222407-DBFA-4A6A-92C1-43D75F1DF4B7}" name="نسبة الإنجاز" dataDxfId="30"/>
    <tableColumn id="9" xr3:uid="{5B4C0182-51E8-48A2-A2C0-616BF03046DD}" name="تاريخ البداية" dataDxfId="29"/>
    <tableColumn id="10" xr3:uid="{ADC22C40-6942-4B7F-B72D-7AB52F499DBB}" name="تاريخ الانتهاء" dataDxfId="28"/>
    <tableColumn id="11" xr3:uid="{28C1E31E-712D-48CB-B28D-100B706DE812}" name="الأيام المتبقية" dataDxfId="27">
      <calculatedColumnFormula>IFERROR(IF(J3="","",IF(G3="مكتملة","✓",J3-TODAY())),"تاريخ غير صحيح")</calculatedColumnFormula>
    </tableColumn>
    <tableColumn id="12" xr3:uid="{44A40822-77DF-4F67-AE90-2D65C3B96EF3}" name="مؤشر المخاطر" dataDxfId="26">
      <calculatedColumnFormula>IF(G3="مكتملة","🟢 مكتملة",IF(G3="لم تبدأ","⚪ لم تبدأ",IF(J3&lt;TODAY(),"🔴 متأخرة",IF(AND(I3&lt;&gt;"",J3&lt;&gt;"",H3&lt;&gt;"",((TODAY()-I3)/(J3-I3)-H3)&gt;0.3),"🟡 تحتاج متابعة","🟢 في المسار"))))</calculatedColumnFormula>
    </tableColumn>
    <tableColumn id="13" xr3:uid="{55D38DAD-AA9C-4C16-89C2-98343388B34D}" name="الملاحظات" dataDxfId="25"/>
    <tableColumn id="14" xr3:uid="{1D2E6275-0A84-4B3F-8DED-C77136655B2B}" name="الخطوة القادمة" dataDxfId="24"/>
    <tableColumn id="15" xr3:uid="{B6328612-EA28-4DDF-B340-3933940A588F}" name="ملاحظات الرئيس التنفيذي" dataDxfId="23"/>
    <tableColumn id="16" xr3:uid="{F40080AD-FAE2-44F0-9071-E6681C481AB6}" name="الشهر المصدر"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1F2D40"/>
  </sheetPr>
  <dimension ref="A1:P417"/>
  <sheetViews>
    <sheetView rightToLeft="1" zoomScaleNormal="100" workbookViewId="0">
      <pane ySplit="2" topLeftCell="A394" activePane="bottomLeft" state="frozen"/>
      <selection pane="bottomLeft" activeCell="M417" sqref="M417"/>
    </sheetView>
  </sheetViews>
  <sheetFormatPr defaultColWidth="8.6640625" defaultRowHeight="15.6" x14ac:dyDescent="0.4"/>
  <cols>
    <col min="1" max="1" width="5" style="4" customWidth="1"/>
    <col min="2" max="2" width="45" style="4" customWidth="1"/>
    <col min="3" max="4" width="18" style="4" customWidth="1"/>
    <col min="5" max="5" width="10" style="4" customWidth="1"/>
    <col min="6" max="6" width="22" style="4" customWidth="1"/>
    <col min="7" max="7" width="14" style="4" customWidth="1"/>
    <col min="8" max="8" width="13" style="4" customWidth="1"/>
    <col min="9" max="10" width="14" style="4" customWidth="1"/>
    <col min="11" max="12" width="13" style="4" customWidth="1"/>
    <col min="13" max="13" width="39.109375" style="4" customWidth="1"/>
    <col min="14" max="14" width="28" style="4" customWidth="1"/>
    <col min="15" max="15" width="30" style="4" customWidth="1"/>
    <col min="16" max="16" width="14" style="4" customWidth="1"/>
    <col min="17" max="16384" width="8.6640625" style="4"/>
  </cols>
  <sheetData>
    <row r="1" spans="1:16" ht="39.75" customHeight="1" x14ac:dyDescent="0.4">
      <c r="A1" s="63" t="s">
        <v>0</v>
      </c>
      <c r="B1" s="63"/>
      <c r="C1" s="63"/>
      <c r="D1" s="63"/>
      <c r="E1" s="63"/>
      <c r="F1" s="63"/>
      <c r="G1" s="63"/>
      <c r="H1" s="63"/>
      <c r="I1" s="63"/>
      <c r="J1" s="63"/>
      <c r="K1" s="63"/>
      <c r="L1" s="63"/>
      <c r="M1" s="63"/>
      <c r="N1" s="63"/>
      <c r="O1" s="63"/>
      <c r="P1" s="63"/>
    </row>
    <row r="2" spans="1:16" ht="31.5" customHeight="1" x14ac:dyDescent="0.4">
      <c r="A2" s="23" t="s">
        <v>1</v>
      </c>
      <c r="B2" s="23" t="s">
        <v>2</v>
      </c>
      <c r="C2" s="23" t="s">
        <v>3</v>
      </c>
      <c r="D2" s="23" t="s">
        <v>4</v>
      </c>
      <c r="E2" s="23" t="s">
        <v>5</v>
      </c>
      <c r="F2" s="23" t="s">
        <v>6</v>
      </c>
      <c r="G2" s="23" t="s">
        <v>7</v>
      </c>
      <c r="H2" s="23" t="s">
        <v>8</v>
      </c>
      <c r="I2" s="23" t="s">
        <v>9</v>
      </c>
      <c r="J2" s="23" t="s">
        <v>10</v>
      </c>
      <c r="K2" s="23" t="s">
        <v>11</v>
      </c>
      <c r="L2" s="23" t="s">
        <v>12</v>
      </c>
      <c r="M2" s="23" t="s">
        <v>13</v>
      </c>
      <c r="N2" s="23" t="s">
        <v>14</v>
      </c>
      <c r="O2" s="23" t="s">
        <v>15</v>
      </c>
      <c r="P2" s="23" t="s">
        <v>16</v>
      </c>
    </row>
    <row r="3" spans="1:16" ht="27.75" hidden="1" customHeight="1" x14ac:dyDescent="0.4">
      <c r="A3" s="13">
        <v>1</v>
      </c>
      <c r="B3" s="39" t="s">
        <v>46</v>
      </c>
      <c r="C3" s="39" t="s">
        <v>50</v>
      </c>
      <c r="D3" s="39"/>
      <c r="E3" s="6"/>
      <c r="F3" s="7"/>
      <c r="G3" s="14" t="s">
        <v>28</v>
      </c>
      <c r="H3" s="15">
        <v>1</v>
      </c>
      <c r="I3" s="16">
        <v>45532</v>
      </c>
      <c r="J3" s="16">
        <v>45538</v>
      </c>
      <c r="K3" s="11" t="str">
        <f t="shared" ref="K3:K66" ca="1" si="0">IFERROR(IF(J3="","",IF(G3="مكتملة","✓",J3-TODAY())),"تاريخ غير صحيح")</f>
        <v>✓</v>
      </c>
      <c r="L3" s="12" t="str">
        <f t="shared" ref="L3:L34" ca="1" si="1">IF(G3="مكتملة","🟢 مكتملة",IF(G3="لم تبدأ","⚪ لم تبدأ",IF(J3&lt;TODAY(),"🔴 متأخرة",IF(AND(I3&lt;&gt;"",J3&lt;&gt;"",H3&lt;&gt;"",((TODAY()-I3)/(J3-I3)-H3)&gt;0.3),"🟡 تحتاج متابعة","🟢 في المسار"))))</f>
        <v>🟢 مكتملة</v>
      </c>
      <c r="M3" s="39" t="s">
        <v>51</v>
      </c>
      <c r="N3" s="39" t="s">
        <v>52</v>
      </c>
      <c r="O3" s="39"/>
      <c r="P3" s="39" t="s">
        <v>53</v>
      </c>
    </row>
    <row r="4" spans="1:16" ht="27.75" hidden="1" customHeight="1" x14ac:dyDescent="0.4">
      <c r="A4" s="13">
        <v>2</v>
      </c>
      <c r="B4" s="39" t="s">
        <v>72</v>
      </c>
      <c r="C4" s="39" t="s">
        <v>38</v>
      </c>
      <c r="D4" s="39"/>
      <c r="E4" s="6"/>
      <c r="F4" s="7"/>
      <c r="G4" s="14" t="s">
        <v>28</v>
      </c>
      <c r="H4" s="15">
        <v>1</v>
      </c>
      <c r="I4" s="16">
        <v>45544</v>
      </c>
      <c r="J4" s="16">
        <v>45551</v>
      </c>
      <c r="K4" s="11" t="str">
        <f t="shared" ca="1" si="0"/>
        <v>✓</v>
      </c>
      <c r="L4" s="12" t="str">
        <f t="shared" ca="1" si="1"/>
        <v>🟢 مكتملة</v>
      </c>
      <c r="M4" s="39" t="s">
        <v>73</v>
      </c>
      <c r="N4" s="39" t="s">
        <v>74</v>
      </c>
      <c r="O4" s="39"/>
      <c r="P4" s="39" t="s">
        <v>53</v>
      </c>
    </row>
    <row r="5" spans="1:16" ht="27.75" hidden="1" customHeight="1" x14ac:dyDescent="0.4">
      <c r="A5" s="5">
        <v>3</v>
      </c>
      <c r="B5" s="40" t="s">
        <v>101</v>
      </c>
      <c r="C5" s="40" t="s">
        <v>26</v>
      </c>
      <c r="D5" s="40"/>
      <c r="E5" s="6"/>
      <c r="F5" s="7"/>
      <c r="G5" s="8" t="s">
        <v>20</v>
      </c>
      <c r="H5" s="9">
        <v>0.9</v>
      </c>
      <c r="I5" s="10"/>
      <c r="J5" s="5"/>
      <c r="K5" s="11" t="str">
        <f t="shared" ca="1" si="0"/>
        <v/>
      </c>
      <c r="L5" s="12" t="str">
        <f t="shared" ca="1" si="1"/>
        <v>🔴 متأخرة</v>
      </c>
      <c r="M5" s="40" t="s">
        <v>105</v>
      </c>
      <c r="N5" s="40" t="s">
        <v>106</v>
      </c>
      <c r="O5" s="40"/>
      <c r="P5" s="40" t="s">
        <v>53</v>
      </c>
    </row>
    <row r="6" spans="1:16" ht="27.75" hidden="1" customHeight="1" x14ac:dyDescent="0.4">
      <c r="A6" s="5">
        <v>4</v>
      </c>
      <c r="B6" s="40" t="s">
        <v>109</v>
      </c>
      <c r="C6" s="40" t="s">
        <v>26</v>
      </c>
      <c r="D6" s="40"/>
      <c r="E6" s="6"/>
      <c r="F6" s="7"/>
      <c r="G6" s="8" t="s">
        <v>20</v>
      </c>
      <c r="H6" s="9">
        <v>0.95</v>
      </c>
      <c r="I6" s="10">
        <v>45537</v>
      </c>
      <c r="J6" s="10">
        <v>45566</v>
      </c>
      <c r="K6" s="11">
        <f t="shared" ca="1" si="0"/>
        <v>-548</v>
      </c>
      <c r="L6" s="12" t="str">
        <f t="shared" ca="1" si="1"/>
        <v>🔴 متأخرة</v>
      </c>
      <c r="M6" s="40" t="s">
        <v>110</v>
      </c>
      <c r="N6" s="40" t="s">
        <v>106</v>
      </c>
      <c r="O6" s="40"/>
      <c r="P6" s="40" t="s">
        <v>53</v>
      </c>
    </row>
    <row r="7" spans="1:16" ht="27.75" hidden="1" customHeight="1" x14ac:dyDescent="0.4">
      <c r="A7" s="13">
        <v>5</v>
      </c>
      <c r="B7" s="40" t="s">
        <v>116</v>
      </c>
      <c r="C7" s="40" t="s">
        <v>31</v>
      </c>
      <c r="D7" s="40"/>
      <c r="E7" s="6"/>
      <c r="F7" s="7"/>
      <c r="G7" s="14" t="s">
        <v>28</v>
      </c>
      <c r="H7" s="9">
        <v>1</v>
      </c>
      <c r="I7" s="10">
        <v>45522</v>
      </c>
      <c r="J7" s="10">
        <v>45533</v>
      </c>
      <c r="K7" s="11" t="str">
        <f t="shared" ca="1" si="0"/>
        <v>✓</v>
      </c>
      <c r="L7" s="12" t="str">
        <f t="shared" ca="1" si="1"/>
        <v>🟢 مكتملة</v>
      </c>
      <c r="M7" s="40" t="s">
        <v>118</v>
      </c>
      <c r="N7" s="40" t="s">
        <v>119</v>
      </c>
      <c r="O7" s="40"/>
      <c r="P7" s="40" t="s">
        <v>53</v>
      </c>
    </row>
    <row r="8" spans="1:16" ht="27.75" hidden="1" customHeight="1" x14ac:dyDescent="0.4">
      <c r="A8" s="13">
        <v>6</v>
      </c>
      <c r="B8" s="39" t="s">
        <v>120</v>
      </c>
      <c r="C8" s="39" t="s">
        <v>55</v>
      </c>
      <c r="D8" s="39"/>
      <c r="E8" s="6"/>
      <c r="F8" s="7"/>
      <c r="G8" s="8" t="s">
        <v>20</v>
      </c>
      <c r="H8" s="15"/>
      <c r="I8" s="16">
        <v>45553</v>
      </c>
      <c r="J8" s="16">
        <v>45560</v>
      </c>
      <c r="K8" s="11">
        <f t="shared" ca="1" si="0"/>
        <v>-554</v>
      </c>
      <c r="L8" s="12" t="str">
        <f t="shared" ca="1" si="1"/>
        <v>🔴 متأخرة</v>
      </c>
      <c r="M8" s="39" t="s">
        <v>121</v>
      </c>
      <c r="N8" s="39" t="s">
        <v>55</v>
      </c>
      <c r="O8" s="39"/>
      <c r="P8" s="39" t="s">
        <v>53</v>
      </c>
    </row>
    <row r="9" spans="1:16" ht="27.75" hidden="1" customHeight="1" x14ac:dyDescent="0.4">
      <c r="A9" s="5">
        <v>7</v>
      </c>
      <c r="B9" s="39" t="s">
        <v>152</v>
      </c>
      <c r="C9" s="39" t="s">
        <v>31</v>
      </c>
      <c r="D9" s="39"/>
      <c r="E9" s="6"/>
      <c r="F9" s="7"/>
      <c r="G9" s="14" t="s">
        <v>28</v>
      </c>
      <c r="H9" s="15">
        <v>1</v>
      </c>
      <c r="I9" s="16">
        <v>45544</v>
      </c>
      <c r="J9" s="16">
        <v>45551</v>
      </c>
      <c r="K9" s="11" t="str">
        <f t="shared" ca="1" si="0"/>
        <v>✓</v>
      </c>
      <c r="L9" s="12" t="str">
        <f t="shared" ca="1" si="1"/>
        <v>🟢 مكتملة</v>
      </c>
      <c r="M9" s="39" t="s">
        <v>153</v>
      </c>
      <c r="N9" s="39"/>
      <c r="O9" s="39"/>
      <c r="P9" s="39" t="s">
        <v>53</v>
      </c>
    </row>
    <row r="10" spans="1:16" ht="27.75" hidden="1" customHeight="1" x14ac:dyDescent="0.4">
      <c r="A10" s="5">
        <v>8</v>
      </c>
      <c r="B10" s="39" t="s">
        <v>172</v>
      </c>
      <c r="C10" s="39" t="s">
        <v>38</v>
      </c>
      <c r="D10" s="39"/>
      <c r="E10" s="6"/>
      <c r="F10" s="7"/>
      <c r="G10" s="8" t="s">
        <v>20</v>
      </c>
      <c r="H10" s="15">
        <v>0.95</v>
      </c>
      <c r="I10" s="16">
        <v>45518</v>
      </c>
      <c r="J10" s="16">
        <v>45565</v>
      </c>
      <c r="K10" s="11">
        <f t="shared" ca="1" si="0"/>
        <v>-549</v>
      </c>
      <c r="L10" s="12" t="str">
        <f t="shared" ca="1" si="1"/>
        <v>🔴 متأخرة</v>
      </c>
      <c r="M10" s="39" t="s">
        <v>110</v>
      </c>
      <c r="N10" s="39" t="s">
        <v>106</v>
      </c>
      <c r="O10" s="39"/>
      <c r="P10" s="39" t="s">
        <v>53</v>
      </c>
    </row>
    <row r="11" spans="1:16" ht="27.75" hidden="1" customHeight="1" x14ac:dyDescent="0.4">
      <c r="A11" s="13">
        <v>9</v>
      </c>
      <c r="B11" s="40" t="s">
        <v>173</v>
      </c>
      <c r="C11" s="40" t="s">
        <v>176</v>
      </c>
      <c r="D11" s="40"/>
      <c r="E11" s="6"/>
      <c r="F11" s="7"/>
      <c r="G11" s="8" t="s">
        <v>20</v>
      </c>
      <c r="H11" s="9">
        <v>0.5</v>
      </c>
      <c r="I11" s="10">
        <v>45518</v>
      </c>
      <c r="J11" s="10">
        <v>45565</v>
      </c>
      <c r="K11" s="11">
        <f t="shared" ca="1" si="0"/>
        <v>-549</v>
      </c>
      <c r="L11" s="12" t="str">
        <f t="shared" ca="1" si="1"/>
        <v>🔴 متأخرة</v>
      </c>
      <c r="M11" s="40" t="s">
        <v>177</v>
      </c>
      <c r="N11" s="40" t="s">
        <v>178</v>
      </c>
      <c r="O11" s="40"/>
      <c r="P11" s="40" t="s">
        <v>53</v>
      </c>
    </row>
    <row r="12" spans="1:16" ht="27.75" hidden="1" customHeight="1" x14ac:dyDescent="0.4">
      <c r="A12" s="13">
        <v>10</v>
      </c>
      <c r="B12" s="40" t="s">
        <v>190</v>
      </c>
      <c r="C12" s="40" t="s">
        <v>26</v>
      </c>
      <c r="D12" s="40"/>
      <c r="E12" s="6"/>
      <c r="F12" s="7"/>
      <c r="G12" s="8" t="s">
        <v>20</v>
      </c>
      <c r="H12" s="9">
        <v>0.75</v>
      </c>
      <c r="I12" s="10">
        <v>45519</v>
      </c>
      <c r="J12" s="10">
        <v>45534</v>
      </c>
      <c r="K12" s="11">
        <f t="shared" ca="1" si="0"/>
        <v>-580</v>
      </c>
      <c r="L12" s="12" t="str">
        <f t="shared" ca="1" si="1"/>
        <v>🔴 متأخرة</v>
      </c>
      <c r="M12" s="40" t="s">
        <v>192</v>
      </c>
      <c r="N12" s="40" t="s">
        <v>193</v>
      </c>
      <c r="O12" s="40"/>
      <c r="P12" s="40" t="s">
        <v>53</v>
      </c>
    </row>
    <row r="13" spans="1:16" ht="27.75" hidden="1" customHeight="1" x14ac:dyDescent="0.4">
      <c r="A13" s="13">
        <v>11</v>
      </c>
      <c r="B13" s="39" t="s">
        <v>228</v>
      </c>
      <c r="C13" s="39" t="s">
        <v>229</v>
      </c>
      <c r="D13" s="39"/>
      <c r="E13" s="6"/>
      <c r="F13" s="7"/>
      <c r="G13" s="14" t="s">
        <v>28</v>
      </c>
      <c r="H13" s="15">
        <v>1</v>
      </c>
      <c r="I13" s="16">
        <v>45536</v>
      </c>
      <c r="J13" s="16">
        <v>45547</v>
      </c>
      <c r="K13" s="11" t="str">
        <f t="shared" ca="1" si="0"/>
        <v>✓</v>
      </c>
      <c r="L13" s="12" t="str">
        <f t="shared" ca="1" si="1"/>
        <v>🟢 مكتملة</v>
      </c>
      <c r="M13" s="39" t="s">
        <v>230</v>
      </c>
      <c r="N13" s="39" t="s">
        <v>229</v>
      </c>
      <c r="O13" s="39"/>
      <c r="P13" s="39" t="s">
        <v>53</v>
      </c>
    </row>
    <row r="14" spans="1:16" ht="27.75" hidden="1" customHeight="1" x14ac:dyDescent="0.4">
      <c r="A14" s="13">
        <v>12</v>
      </c>
      <c r="B14" s="40" t="s">
        <v>244</v>
      </c>
      <c r="C14" s="40" t="s">
        <v>106</v>
      </c>
      <c r="D14" s="40"/>
      <c r="E14" s="6"/>
      <c r="F14" s="7"/>
      <c r="G14" s="8" t="s">
        <v>20</v>
      </c>
      <c r="H14" s="9">
        <v>0.95</v>
      </c>
      <c r="I14" s="10">
        <v>45480</v>
      </c>
      <c r="J14" s="5"/>
      <c r="K14" s="11" t="str">
        <f t="shared" ca="1" si="0"/>
        <v/>
      </c>
      <c r="L14" s="12" t="str">
        <f t="shared" ca="1" si="1"/>
        <v>🔴 متأخرة</v>
      </c>
      <c r="M14" s="40" t="s">
        <v>110</v>
      </c>
      <c r="N14" s="40" t="s">
        <v>106</v>
      </c>
      <c r="O14" s="40"/>
      <c r="P14" s="40" t="s">
        <v>53</v>
      </c>
    </row>
    <row r="15" spans="1:16" ht="27.75" hidden="1" customHeight="1" x14ac:dyDescent="0.4">
      <c r="A15" s="5">
        <v>13</v>
      </c>
      <c r="B15" s="40" t="s">
        <v>251</v>
      </c>
      <c r="C15" s="40" t="s">
        <v>26</v>
      </c>
      <c r="D15" s="40"/>
      <c r="E15" s="6"/>
      <c r="F15" s="7"/>
      <c r="G15" s="8" t="s">
        <v>20</v>
      </c>
      <c r="H15" s="9">
        <v>0.5</v>
      </c>
      <c r="I15" s="10">
        <v>45292</v>
      </c>
      <c r="J15" s="10">
        <v>45657</v>
      </c>
      <c r="K15" s="11">
        <f t="shared" ca="1" si="0"/>
        <v>-457</v>
      </c>
      <c r="L15" s="12" t="str">
        <f t="shared" ca="1" si="1"/>
        <v>🔴 متأخرة</v>
      </c>
      <c r="M15" s="40" t="s">
        <v>256</v>
      </c>
      <c r="N15" s="40" t="s">
        <v>257</v>
      </c>
      <c r="O15" s="40"/>
      <c r="P15" s="40" t="s">
        <v>53</v>
      </c>
    </row>
    <row r="16" spans="1:16" ht="27.75" hidden="1" customHeight="1" x14ac:dyDescent="0.4">
      <c r="A16" s="5">
        <v>14</v>
      </c>
      <c r="B16" s="40" t="s">
        <v>276</v>
      </c>
      <c r="C16" s="40" t="s">
        <v>279</v>
      </c>
      <c r="D16" s="40"/>
      <c r="E16" s="6"/>
      <c r="F16" s="7"/>
      <c r="G16" s="8" t="s">
        <v>20</v>
      </c>
      <c r="H16" s="9">
        <v>0.5</v>
      </c>
      <c r="I16" s="10">
        <v>45518</v>
      </c>
      <c r="J16" s="10">
        <v>45525</v>
      </c>
      <c r="K16" s="11">
        <f t="shared" ca="1" si="0"/>
        <v>-589</v>
      </c>
      <c r="L16" s="12" t="str">
        <f t="shared" ca="1" si="1"/>
        <v>🔴 متأخرة</v>
      </c>
      <c r="M16" s="40" t="s">
        <v>280</v>
      </c>
      <c r="N16" s="40" t="s">
        <v>65</v>
      </c>
      <c r="O16" s="40"/>
      <c r="P16" s="40" t="s">
        <v>53</v>
      </c>
    </row>
    <row r="17" spans="1:16" ht="27.75" hidden="1" customHeight="1" x14ac:dyDescent="0.4">
      <c r="A17" s="13">
        <v>15</v>
      </c>
      <c r="B17" s="39" t="s">
        <v>323</v>
      </c>
      <c r="C17" s="39" t="s">
        <v>279</v>
      </c>
      <c r="D17" s="39"/>
      <c r="E17" s="6"/>
      <c r="F17" s="7"/>
      <c r="G17" s="8" t="s">
        <v>20</v>
      </c>
      <c r="H17" s="15">
        <v>0.25</v>
      </c>
      <c r="I17" s="16">
        <v>45536</v>
      </c>
      <c r="J17" s="16">
        <v>45540</v>
      </c>
      <c r="K17" s="11">
        <f t="shared" ca="1" si="0"/>
        <v>-574</v>
      </c>
      <c r="L17" s="12" t="str">
        <f t="shared" ca="1" si="1"/>
        <v>🔴 متأخرة</v>
      </c>
      <c r="M17" s="39" t="s">
        <v>324</v>
      </c>
      <c r="N17" s="39" t="s">
        <v>325</v>
      </c>
      <c r="O17" s="39"/>
      <c r="P17" s="39" t="s">
        <v>53</v>
      </c>
    </row>
    <row r="18" spans="1:16" ht="27.75" hidden="1" customHeight="1" x14ac:dyDescent="0.4">
      <c r="A18" s="13">
        <v>16</v>
      </c>
      <c r="B18" s="39" t="s">
        <v>339</v>
      </c>
      <c r="C18" s="39" t="s">
        <v>42</v>
      </c>
      <c r="D18" s="39"/>
      <c r="E18" s="6"/>
      <c r="F18" s="7"/>
      <c r="G18" s="14" t="s">
        <v>28</v>
      </c>
      <c r="H18" s="15">
        <v>1</v>
      </c>
      <c r="I18" s="16">
        <v>45420</v>
      </c>
      <c r="J18" s="16">
        <v>45535</v>
      </c>
      <c r="K18" s="11" t="str">
        <f t="shared" ca="1" si="0"/>
        <v>✓</v>
      </c>
      <c r="L18" s="12" t="str">
        <f t="shared" ca="1" si="1"/>
        <v>🟢 مكتملة</v>
      </c>
      <c r="M18" s="39" t="s">
        <v>343</v>
      </c>
      <c r="N18" s="39"/>
      <c r="O18" s="39"/>
      <c r="P18" s="39" t="s">
        <v>53</v>
      </c>
    </row>
    <row r="19" spans="1:16" ht="27.75" hidden="1" customHeight="1" x14ac:dyDescent="0.4">
      <c r="A19" s="5">
        <v>17</v>
      </c>
      <c r="B19" s="40" t="s">
        <v>354</v>
      </c>
      <c r="C19" s="40" t="s">
        <v>55</v>
      </c>
      <c r="D19" s="40"/>
      <c r="E19" s="6"/>
      <c r="F19" s="7"/>
      <c r="G19" s="8" t="s">
        <v>20</v>
      </c>
      <c r="H19" s="9">
        <v>0.9</v>
      </c>
      <c r="I19" s="10">
        <v>45466</v>
      </c>
      <c r="J19" s="10">
        <v>45503</v>
      </c>
      <c r="K19" s="11">
        <f t="shared" ca="1" si="0"/>
        <v>-611</v>
      </c>
      <c r="L19" s="12" t="str">
        <f t="shared" ca="1" si="1"/>
        <v>🔴 متأخرة</v>
      </c>
      <c r="M19" s="40" t="s">
        <v>357</v>
      </c>
      <c r="N19" s="40" t="s">
        <v>358</v>
      </c>
      <c r="O19" s="40"/>
      <c r="P19" s="40" t="s">
        <v>53</v>
      </c>
    </row>
    <row r="20" spans="1:16" ht="27.75" hidden="1" customHeight="1" x14ac:dyDescent="0.4">
      <c r="A20" s="5">
        <v>18</v>
      </c>
      <c r="B20" s="39" t="s">
        <v>360</v>
      </c>
      <c r="C20" s="39" t="s">
        <v>55</v>
      </c>
      <c r="D20" s="39"/>
      <c r="E20" s="6"/>
      <c r="F20" s="7"/>
      <c r="G20" s="8" t="s">
        <v>20</v>
      </c>
      <c r="H20" s="15">
        <v>0.95</v>
      </c>
      <c r="I20" s="16">
        <v>45454</v>
      </c>
      <c r="J20" s="16">
        <v>45519</v>
      </c>
      <c r="K20" s="11">
        <f t="shared" ca="1" si="0"/>
        <v>-595</v>
      </c>
      <c r="L20" s="12" t="str">
        <f t="shared" ca="1" si="1"/>
        <v>🔴 متأخرة</v>
      </c>
      <c r="M20" s="39" t="s">
        <v>363</v>
      </c>
      <c r="N20" s="39" t="s">
        <v>364</v>
      </c>
      <c r="O20" s="39"/>
      <c r="P20" s="39" t="s">
        <v>53</v>
      </c>
    </row>
    <row r="21" spans="1:16" ht="27.75" hidden="1" customHeight="1" x14ac:dyDescent="0.4">
      <c r="A21" s="13">
        <v>19</v>
      </c>
      <c r="B21" s="40" t="s">
        <v>380</v>
      </c>
      <c r="C21" s="40" t="s">
        <v>279</v>
      </c>
      <c r="D21" s="40"/>
      <c r="E21" s="6"/>
      <c r="F21" s="7"/>
      <c r="G21" s="14" t="s">
        <v>28</v>
      </c>
      <c r="H21" s="9">
        <v>1</v>
      </c>
      <c r="I21" s="10">
        <v>45530</v>
      </c>
      <c r="J21" s="10">
        <v>45532</v>
      </c>
      <c r="K21" s="11" t="str">
        <f t="shared" ca="1" si="0"/>
        <v>✓</v>
      </c>
      <c r="L21" s="12" t="str">
        <f t="shared" ca="1" si="1"/>
        <v>🟢 مكتملة</v>
      </c>
      <c r="M21" s="40" t="s">
        <v>381</v>
      </c>
      <c r="N21" s="40" t="s">
        <v>382</v>
      </c>
      <c r="O21" s="40" t="s">
        <v>383</v>
      </c>
      <c r="P21" s="40" t="s">
        <v>53</v>
      </c>
    </row>
    <row r="22" spans="1:16" ht="27.75" hidden="1" customHeight="1" x14ac:dyDescent="0.4">
      <c r="A22" s="13">
        <v>20</v>
      </c>
      <c r="B22" s="40" t="s">
        <v>389</v>
      </c>
      <c r="C22" s="40" t="s">
        <v>31</v>
      </c>
      <c r="D22" s="40"/>
      <c r="E22" s="6"/>
      <c r="F22" s="7"/>
      <c r="G22" s="14" t="s">
        <v>28</v>
      </c>
      <c r="H22" s="9">
        <v>0.95</v>
      </c>
      <c r="I22" s="10">
        <v>45518</v>
      </c>
      <c r="J22" s="10">
        <v>45525</v>
      </c>
      <c r="K22" s="11" t="str">
        <f t="shared" ca="1" si="0"/>
        <v>✓</v>
      </c>
      <c r="L22" s="12" t="str">
        <f t="shared" ca="1" si="1"/>
        <v>🟢 مكتملة</v>
      </c>
      <c r="M22" s="40" t="s">
        <v>391</v>
      </c>
      <c r="N22" s="40" t="s">
        <v>392</v>
      </c>
      <c r="O22" s="40"/>
      <c r="P22" s="40" t="s">
        <v>53</v>
      </c>
    </row>
    <row r="23" spans="1:16" ht="27.75" hidden="1" customHeight="1" x14ac:dyDescent="0.4">
      <c r="A23" s="13">
        <v>21</v>
      </c>
      <c r="B23" s="40" t="s">
        <v>398</v>
      </c>
      <c r="C23" s="40" t="s">
        <v>63</v>
      </c>
      <c r="D23" s="40"/>
      <c r="E23" s="6"/>
      <c r="F23" s="7"/>
      <c r="G23" s="8" t="s">
        <v>20</v>
      </c>
      <c r="H23" s="9">
        <v>0.95</v>
      </c>
      <c r="I23" s="10">
        <v>45537</v>
      </c>
      <c r="J23" s="10">
        <v>45550</v>
      </c>
      <c r="K23" s="11">
        <f t="shared" ca="1" si="0"/>
        <v>-564</v>
      </c>
      <c r="L23" s="12" t="str">
        <f t="shared" ca="1" si="1"/>
        <v>🔴 متأخرة</v>
      </c>
      <c r="M23" s="40" t="s">
        <v>399</v>
      </c>
      <c r="N23" s="40" t="s">
        <v>106</v>
      </c>
      <c r="O23" s="40"/>
      <c r="P23" s="40" t="s">
        <v>53</v>
      </c>
    </row>
    <row r="24" spans="1:16" ht="27.75" hidden="1" customHeight="1" x14ac:dyDescent="0.4">
      <c r="A24" s="13">
        <v>22</v>
      </c>
      <c r="B24" s="39" t="s">
        <v>421</v>
      </c>
      <c r="C24" s="39" t="s">
        <v>42</v>
      </c>
      <c r="D24" s="39"/>
      <c r="E24" s="6"/>
      <c r="F24" s="7"/>
      <c r="G24" s="14" t="s">
        <v>28</v>
      </c>
      <c r="H24" s="15">
        <v>1</v>
      </c>
      <c r="I24" s="16">
        <v>45447</v>
      </c>
      <c r="J24" s="16">
        <v>45539</v>
      </c>
      <c r="K24" s="11" t="str">
        <f t="shared" ca="1" si="0"/>
        <v>✓</v>
      </c>
      <c r="L24" s="12" t="str">
        <f t="shared" ca="1" si="1"/>
        <v>🟢 مكتملة</v>
      </c>
      <c r="M24" s="39" t="s">
        <v>423</v>
      </c>
      <c r="N24" s="39"/>
      <c r="O24" s="39"/>
      <c r="P24" s="39" t="s">
        <v>53</v>
      </c>
    </row>
    <row r="25" spans="1:16" ht="27.75" hidden="1" customHeight="1" x14ac:dyDescent="0.4">
      <c r="A25" s="5">
        <v>23</v>
      </c>
      <c r="B25" s="39" t="s">
        <v>426</v>
      </c>
      <c r="C25" s="39" t="s">
        <v>31</v>
      </c>
      <c r="D25" s="39"/>
      <c r="E25" s="6"/>
      <c r="F25" s="7"/>
      <c r="G25" s="8" t="s">
        <v>20</v>
      </c>
      <c r="H25" s="15">
        <v>0.9</v>
      </c>
      <c r="I25" s="16">
        <v>45533</v>
      </c>
      <c r="J25" s="16">
        <v>45540</v>
      </c>
      <c r="K25" s="11">
        <f t="shared" ca="1" si="0"/>
        <v>-574</v>
      </c>
      <c r="L25" s="12" t="str">
        <f t="shared" ca="1" si="1"/>
        <v>🔴 متأخرة</v>
      </c>
      <c r="M25" s="39" t="s">
        <v>428</v>
      </c>
      <c r="N25" s="39" t="s">
        <v>429</v>
      </c>
      <c r="O25" s="39"/>
      <c r="P25" s="39" t="s">
        <v>53</v>
      </c>
    </row>
    <row r="26" spans="1:16" ht="27.75" hidden="1" customHeight="1" x14ac:dyDescent="0.4">
      <c r="A26" s="5">
        <v>24</v>
      </c>
      <c r="B26" s="39" t="s">
        <v>433</v>
      </c>
      <c r="C26" s="39" t="s">
        <v>279</v>
      </c>
      <c r="D26" s="39"/>
      <c r="E26" s="6"/>
      <c r="F26" s="7"/>
      <c r="G26" s="14" t="s">
        <v>28</v>
      </c>
      <c r="H26" s="15">
        <v>1</v>
      </c>
      <c r="I26" s="16">
        <v>45533</v>
      </c>
      <c r="J26" s="16">
        <v>45537</v>
      </c>
      <c r="K26" s="11" t="str">
        <f t="shared" ca="1" si="0"/>
        <v>✓</v>
      </c>
      <c r="L26" s="12" t="str">
        <f t="shared" ca="1" si="1"/>
        <v>🟢 مكتملة</v>
      </c>
      <c r="M26" s="39" t="s">
        <v>435</v>
      </c>
      <c r="N26" s="39"/>
      <c r="O26" s="39"/>
      <c r="P26" s="39" t="s">
        <v>53</v>
      </c>
    </row>
    <row r="27" spans="1:16" ht="27.75" hidden="1" customHeight="1" x14ac:dyDescent="0.4">
      <c r="A27" s="13">
        <v>25</v>
      </c>
      <c r="B27" s="39" t="s">
        <v>436</v>
      </c>
      <c r="C27" s="39" t="s">
        <v>279</v>
      </c>
      <c r="D27" s="39"/>
      <c r="E27" s="6"/>
      <c r="F27" s="7"/>
      <c r="G27" s="14" t="s">
        <v>28</v>
      </c>
      <c r="H27" s="15">
        <v>1</v>
      </c>
      <c r="I27" s="16">
        <v>45533</v>
      </c>
      <c r="J27" s="16">
        <v>45546</v>
      </c>
      <c r="K27" s="11" t="str">
        <f t="shared" ca="1" si="0"/>
        <v>✓</v>
      </c>
      <c r="L27" s="12" t="str">
        <f t="shared" ca="1" si="1"/>
        <v>🟢 مكتملة</v>
      </c>
      <c r="M27" s="39" t="s">
        <v>437</v>
      </c>
      <c r="N27" s="39" t="s">
        <v>438</v>
      </c>
      <c r="O27" s="39"/>
      <c r="P27" s="39" t="s">
        <v>53</v>
      </c>
    </row>
    <row r="28" spans="1:16" ht="27.75" hidden="1" customHeight="1" x14ac:dyDescent="0.4">
      <c r="A28" s="13">
        <v>26</v>
      </c>
      <c r="B28" s="39" t="s">
        <v>475</v>
      </c>
      <c r="C28" s="39" t="s">
        <v>18</v>
      </c>
      <c r="D28" s="39"/>
      <c r="E28" s="6"/>
      <c r="F28" s="7"/>
      <c r="G28" s="8" t="s">
        <v>20</v>
      </c>
      <c r="H28" s="15">
        <v>0.8</v>
      </c>
      <c r="I28" s="16">
        <v>45536</v>
      </c>
      <c r="J28" s="16">
        <v>45547</v>
      </c>
      <c r="K28" s="11">
        <f t="shared" ca="1" si="0"/>
        <v>-567</v>
      </c>
      <c r="L28" s="12" t="str">
        <f t="shared" ca="1" si="1"/>
        <v>🔴 متأخرة</v>
      </c>
      <c r="M28" s="39" t="s">
        <v>476</v>
      </c>
      <c r="N28" s="39" t="s">
        <v>477</v>
      </c>
      <c r="O28" s="39"/>
      <c r="P28" s="39" t="s">
        <v>53</v>
      </c>
    </row>
    <row r="29" spans="1:16" ht="27.75" hidden="1" customHeight="1" x14ac:dyDescent="0.4">
      <c r="A29" s="5">
        <v>27</v>
      </c>
      <c r="B29" s="40" t="s">
        <v>489</v>
      </c>
      <c r="C29" s="40" t="s">
        <v>31</v>
      </c>
      <c r="D29" s="40"/>
      <c r="E29" s="6"/>
      <c r="F29" s="7"/>
      <c r="G29" s="14" t="s">
        <v>28</v>
      </c>
      <c r="H29" s="9">
        <v>1</v>
      </c>
      <c r="I29" s="10">
        <v>45533</v>
      </c>
      <c r="J29" s="10">
        <v>45536</v>
      </c>
      <c r="K29" s="11" t="str">
        <f t="shared" ca="1" si="0"/>
        <v>✓</v>
      </c>
      <c r="L29" s="12" t="str">
        <f t="shared" ca="1" si="1"/>
        <v>🟢 مكتملة</v>
      </c>
      <c r="M29" s="40" t="s">
        <v>491</v>
      </c>
      <c r="N29" s="40" t="s">
        <v>492</v>
      </c>
      <c r="O29" s="40"/>
      <c r="P29" s="40" t="s">
        <v>53</v>
      </c>
    </row>
    <row r="30" spans="1:16" ht="27.75" hidden="1" customHeight="1" x14ac:dyDescent="0.4">
      <c r="A30" s="5">
        <v>28</v>
      </c>
      <c r="B30" s="39" t="s">
        <v>514</v>
      </c>
      <c r="C30" s="39" t="s">
        <v>18</v>
      </c>
      <c r="D30" s="39"/>
      <c r="E30" s="6"/>
      <c r="F30" s="7"/>
      <c r="G30" s="41" t="s">
        <v>28</v>
      </c>
      <c r="H30" s="15">
        <v>0.5</v>
      </c>
      <c r="I30" s="16">
        <v>45529</v>
      </c>
      <c r="J30" s="16">
        <v>45657</v>
      </c>
      <c r="K30" s="11" t="str">
        <f t="shared" ca="1" si="0"/>
        <v>✓</v>
      </c>
      <c r="L30" s="12" t="str">
        <f t="shared" ca="1" si="1"/>
        <v>🟢 مكتملة</v>
      </c>
      <c r="M30" s="39" t="s">
        <v>515</v>
      </c>
      <c r="N30" s="39"/>
      <c r="O30" s="39"/>
      <c r="P30" s="39" t="s">
        <v>53</v>
      </c>
    </row>
    <row r="31" spans="1:16" ht="27.75" hidden="1" customHeight="1" x14ac:dyDescent="0.4">
      <c r="A31" s="13">
        <v>29</v>
      </c>
      <c r="B31" s="40" t="s">
        <v>527</v>
      </c>
      <c r="C31" s="40" t="s">
        <v>176</v>
      </c>
      <c r="D31" s="40"/>
      <c r="E31" s="6"/>
      <c r="F31" s="7"/>
      <c r="G31" s="14" t="s">
        <v>28</v>
      </c>
      <c r="H31" s="9">
        <v>1</v>
      </c>
      <c r="I31" s="10">
        <v>45511</v>
      </c>
      <c r="J31" s="10">
        <v>45534</v>
      </c>
      <c r="K31" s="11" t="str">
        <f t="shared" ca="1" si="0"/>
        <v>✓</v>
      </c>
      <c r="L31" s="12" t="str">
        <f t="shared" ca="1" si="1"/>
        <v>🟢 مكتملة</v>
      </c>
      <c r="M31" s="40" t="s">
        <v>529</v>
      </c>
      <c r="N31" s="40" t="s">
        <v>530</v>
      </c>
      <c r="O31" s="40"/>
      <c r="P31" s="40" t="s">
        <v>53</v>
      </c>
    </row>
    <row r="32" spans="1:16" ht="27.75" hidden="1" customHeight="1" x14ac:dyDescent="0.4">
      <c r="A32" s="13">
        <v>30</v>
      </c>
      <c r="B32" s="39" t="s">
        <v>532</v>
      </c>
      <c r="C32" s="39" t="s">
        <v>55</v>
      </c>
      <c r="D32" s="39"/>
      <c r="E32" s="6"/>
      <c r="F32" s="7"/>
      <c r="G32" s="14" t="s">
        <v>28</v>
      </c>
      <c r="H32" s="15">
        <v>1</v>
      </c>
      <c r="I32" s="16">
        <v>45536</v>
      </c>
      <c r="J32" s="16">
        <v>45540</v>
      </c>
      <c r="K32" s="11" t="str">
        <f t="shared" ca="1" si="0"/>
        <v>✓</v>
      </c>
      <c r="L32" s="12" t="str">
        <f t="shared" ca="1" si="1"/>
        <v>🟢 مكتملة</v>
      </c>
      <c r="M32" s="39" t="s">
        <v>533</v>
      </c>
      <c r="N32" s="39" t="s">
        <v>155</v>
      </c>
      <c r="O32" s="39"/>
      <c r="P32" s="39" t="s">
        <v>53</v>
      </c>
    </row>
    <row r="33" spans="1:16" ht="27.75" hidden="1" customHeight="1" x14ac:dyDescent="0.4">
      <c r="A33" s="13">
        <v>31</v>
      </c>
      <c r="B33" s="40" t="s">
        <v>546</v>
      </c>
      <c r="C33" s="40" t="s">
        <v>63</v>
      </c>
      <c r="D33" s="40"/>
      <c r="E33" s="6"/>
      <c r="F33" s="7"/>
      <c r="G33" s="14" t="s">
        <v>28</v>
      </c>
      <c r="H33" s="9">
        <v>1</v>
      </c>
      <c r="I33" s="10">
        <v>45537</v>
      </c>
      <c r="J33" s="10">
        <v>45550</v>
      </c>
      <c r="K33" s="11" t="str">
        <f t="shared" ca="1" si="0"/>
        <v>✓</v>
      </c>
      <c r="L33" s="12" t="str">
        <f t="shared" ca="1" si="1"/>
        <v>🟢 مكتملة</v>
      </c>
      <c r="M33" s="40" t="s">
        <v>547</v>
      </c>
      <c r="N33" s="40" t="s">
        <v>548</v>
      </c>
      <c r="O33" s="40"/>
      <c r="P33" s="40" t="s">
        <v>53</v>
      </c>
    </row>
    <row r="34" spans="1:16" ht="27.75" hidden="1" customHeight="1" x14ac:dyDescent="0.4">
      <c r="A34" s="13">
        <v>32</v>
      </c>
      <c r="B34" s="39" t="s">
        <v>557</v>
      </c>
      <c r="C34" s="39" t="s">
        <v>26</v>
      </c>
      <c r="D34" s="39"/>
      <c r="E34" s="6"/>
      <c r="F34" s="7"/>
      <c r="G34" s="8" t="s">
        <v>20</v>
      </c>
      <c r="H34" s="15">
        <v>0.95</v>
      </c>
      <c r="I34" s="16">
        <v>45536</v>
      </c>
      <c r="J34" s="16">
        <v>45555</v>
      </c>
      <c r="K34" s="11">
        <f t="shared" ca="1" si="0"/>
        <v>-559</v>
      </c>
      <c r="L34" s="12" t="str">
        <f t="shared" ca="1" si="1"/>
        <v>🔴 متأخرة</v>
      </c>
      <c r="M34" s="39" t="s">
        <v>558</v>
      </c>
      <c r="N34" s="39" t="s">
        <v>106</v>
      </c>
      <c r="O34" s="39"/>
      <c r="P34" s="39" t="s">
        <v>53</v>
      </c>
    </row>
    <row r="35" spans="1:16" ht="27.75" hidden="1" customHeight="1" x14ac:dyDescent="0.4">
      <c r="A35" s="5">
        <v>33</v>
      </c>
      <c r="B35" s="40" t="s">
        <v>561</v>
      </c>
      <c r="C35" s="40" t="s">
        <v>26</v>
      </c>
      <c r="D35" s="40"/>
      <c r="E35" s="6"/>
      <c r="F35" s="7"/>
      <c r="G35" s="8" t="s">
        <v>20</v>
      </c>
      <c r="H35" s="9">
        <v>0.95</v>
      </c>
      <c r="I35" s="10">
        <v>45536</v>
      </c>
      <c r="J35" s="10">
        <v>45580</v>
      </c>
      <c r="K35" s="11">
        <f t="shared" ca="1" si="0"/>
        <v>-534</v>
      </c>
      <c r="L35" s="12" t="str">
        <f t="shared" ref="L35:L66" ca="1" si="2">IF(G35="مكتملة","🟢 مكتملة",IF(G35="لم تبدأ","⚪ لم تبدأ",IF(J35&lt;TODAY(),"🔴 متأخرة",IF(AND(I35&lt;&gt;"",J35&lt;&gt;"",H35&lt;&gt;"",((TODAY()-I35)/(J35-I35)-H35)&gt;0.3),"🟡 تحتاج متابعة","🟢 في المسار"))))</f>
        <v>🔴 متأخرة</v>
      </c>
      <c r="M35" s="40" t="s">
        <v>558</v>
      </c>
      <c r="N35" s="40" t="s">
        <v>106</v>
      </c>
      <c r="O35" s="40"/>
      <c r="P35" s="40" t="s">
        <v>53</v>
      </c>
    </row>
    <row r="36" spans="1:16" ht="27.75" hidden="1" customHeight="1" x14ac:dyDescent="0.4">
      <c r="A36" s="5">
        <v>34</v>
      </c>
      <c r="B36" s="39" t="s">
        <v>569</v>
      </c>
      <c r="C36" s="39" t="s">
        <v>279</v>
      </c>
      <c r="D36" s="39"/>
      <c r="E36" s="6"/>
      <c r="F36" s="7"/>
      <c r="G36" s="8" t="s">
        <v>20</v>
      </c>
      <c r="H36" s="15">
        <v>0.85</v>
      </c>
      <c r="I36" s="16">
        <v>45496</v>
      </c>
      <c r="J36" s="16">
        <v>45554</v>
      </c>
      <c r="K36" s="11">
        <f t="shared" ca="1" si="0"/>
        <v>-560</v>
      </c>
      <c r="L36" s="12" t="str">
        <f t="shared" ca="1" si="2"/>
        <v>🔴 متأخرة</v>
      </c>
      <c r="M36" s="39" t="s">
        <v>571</v>
      </c>
      <c r="N36" s="39" t="s">
        <v>572</v>
      </c>
      <c r="O36" s="39"/>
      <c r="P36" s="39" t="s">
        <v>53</v>
      </c>
    </row>
    <row r="37" spans="1:16" ht="27.75" hidden="1" customHeight="1" x14ac:dyDescent="0.4">
      <c r="A37" s="13">
        <v>35</v>
      </c>
      <c r="B37" s="39" t="s">
        <v>576</v>
      </c>
      <c r="C37" s="39" t="s">
        <v>55</v>
      </c>
      <c r="D37" s="39"/>
      <c r="E37" s="6"/>
      <c r="F37" s="7"/>
      <c r="G37" s="8" t="s">
        <v>20</v>
      </c>
      <c r="H37" s="15">
        <v>0.95</v>
      </c>
      <c r="I37" s="16">
        <v>45431</v>
      </c>
      <c r="J37" s="16">
        <v>45519</v>
      </c>
      <c r="K37" s="11">
        <f t="shared" ca="1" si="0"/>
        <v>-595</v>
      </c>
      <c r="L37" s="12" t="str">
        <f t="shared" ca="1" si="2"/>
        <v>🔴 متأخرة</v>
      </c>
      <c r="M37" s="39" t="s">
        <v>581</v>
      </c>
      <c r="N37" s="39" t="s">
        <v>582</v>
      </c>
      <c r="O37" s="39"/>
      <c r="P37" s="39" t="s">
        <v>53</v>
      </c>
    </row>
    <row r="38" spans="1:16" ht="27.75" hidden="1" customHeight="1" x14ac:dyDescent="0.4">
      <c r="A38" s="13">
        <v>36</v>
      </c>
      <c r="B38" s="40" t="s">
        <v>596</v>
      </c>
      <c r="C38" s="40" t="s">
        <v>42</v>
      </c>
      <c r="D38" s="40"/>
      <c r="E38" s="6"/>
      <c r="F38" s="7"/>
      <c r="G38" s="14" t="s">
        <v>28</v>
      </c>
      <c r="H38" s="9">
        <v>1</v>
      </c>
      <c r="I38" s="10">
        <v>45522</v>
      </c>
      <c r="J38" s="10">
        <v>45555</v>
      </c>
      <c r="K38" s="11" t="str">
        <f t="shared" ca="1" si="0"/>
        <v>✓</v>
      </c>
      <c r="L38" s="12" t="str">
        <f t="shared" ca="1" si="2"/>
        <v>🟢 مكتملة</v>
      </c>
      <c r="M38" s="40" t="s">
        <v>597</v>
      </c>
      <c r="N38" s="40" t="s">
        <v>598</v>
      </c>
      <c r="O38" s="40"/>
      <c r="P38" s="40" t="s">
        <v>53</v>
      </c>
    </row>
    <row r="39" spans="1:16" ht="27.75" hidden="1" customHeight="1" x14ac:dyDescent="0.4">
      <c r="A39" s="5">
        <v>37</v>
      </c>
      <c r="B39" s="39" t="s">
        <v>616</v>
      </c>
      <c r="C39" s="39" t="s">
        <v>42</v>
      </c>
      <c r="D39" s="39"/>
      <c r="E39" s="6"/>
      <c r="F39" s="7"/>
      <c r="G39" s="14" t="s">
        <v>28</v>
      </c>
      <c r="H39" s="15">
        <v>1</v>
      </c>
      <c r="I39" s="16">
        <v>45543</v>
      </c>
      <c r="J39" s="16">
        <v>45550</v>
      </c>
      <c r="K39" s="11" t="str">
        <f t="shared" ca="1" si="0"/>
        <v>✓</v>
      </c>
      <c r="L39" s="12" t="str">
        <f t="shared" ca="1" si="2"/>
        <v>🟢 مكتملة</v>
      </c>
      <c r="M39" s="39" t="s">
        <v>617</v>
      </c>
      <c r="N39" s="39" t="s">
        <v>618</v>
      </c>
      <c r="O39" s="39"/>
      <c r="P39" s="39" t="s">
        <v>53</v>
      </c>
    </row>
    <row r="40" spans="1:16" ht="27.75" hidden="1" customHeight="1" x14ac:dyDescent="0.4">
      <c r="A40" s="5">
        <v>38</v>
      </c>
      <c r="B40" s="39" t="s">
        <v>621</v>
      </c>
      <c r="C40" s="39" t="s">
        <v>55</v>
      </c>
      <c r="D40" s="39"/>
      <c r="E40" s="6"/>
      <c r="F40" s="7"/>
      <c r="G40" s="8" t="s">
        <v>20</v>
      </c>
      <c r="H40" s="15">
        <v>0.9</v>
      </c>
      <c r="I40" s="16">
        <v>45448</v>
      </c>
      <c r="J40" s="16">
        <v>45559</v>
      </c>
      <c r="K40" s="11">
        <f t="shared" ca="1" si="0"/>
        <v>-555</v>
      </c>
      <c r="L40" s="12" t="str">
        <f t="shared" ca="1" si="2"/>
        <v>🔴 متأخرة</v>
      </c>
      <c r="M40" s="39" t="s">
        <v>623</v>
      </c>
      <c r="N40" s="39" t="s">
        <v>364</v>
      </c>
      <c r="O40" s="39"/>
      <c r="P40" s="39" t="s">
        <v>53</v>
      </c>
    </row>
    <row r="41" spans="1:16" ht="27.75" hidden="1" customHeight="1" x14ac:dyDescent="0.4">
      <c r="A41" s="13">
        <v>39</v>
      </c>
      <c r="B41" s="39" t="s">
        <v>655</v>
      </c>
      <c r="C41" s="39" t="s">
        <v>38</v>
      </c>
      <c r="D41" s="39"/>
      <c r="E41" s="6"/>
      <c r="F41" s="7"/>
      <c r="G41" s="41" t="s">
        <v>28</v>
      </c>
      <c r="H41" s="15"/>
      <c r="I41" s="16">
        <v>45536</v>
      </c>
      <c r="J41" s="13"/>
      <c r="K41" s="11" t="str">
        <f t="shared" ca="1" si="0"/>
        <v/>
      </c>
      <c r="L41" s="12" t="str">
        <f t="shared" ca="1" si="2"/>
        <v>🟢 مكتملة</v>
      </c>
      <c r="M41" s="39" t="s">
        <v>656</v>
      </c>
      <c r="N41" s="39"/>
      <c r="O41" s="39"/>
      <c r="P41" s="39" t="s">
        <v>53</v>
      </c>
    </row>
    <row r="42" spans="1:16" ht="27.75" hidden="1" customHeight="1" x14ac:dyDescent="0.4">
      <c r="A42" s="13">
        <v>40</v>
      </c>
      <c r="B42" s="39" t="s">
        <v>663</v>
      </c>
      <c r="C42" s="39" t="s">
        <v>31</v>
      </c>
      <c r="D42" s="39"/>
      <c r="E42" s="6"/>
      <c r="F42" s="7"/>
      <c r="G42" s="14" t="s">
        <v>28</v>
      </c>
      <c r="H42" s="15">
        <v>1</v>
      </c>
      <c r="I42" s="16">
        <v>45428</v>
      </c>
      <c r="J42" s="16">
        <v>45540</v>
      </c>
      <c r="K42" s="11" t="str">
        <f t="shared" ca="1" si="0"/>
        <v>✓</v>
      </c>
      <c r="L42" s="12" t="str">
        <f t="shared" ca="1" si="2"/>
        <v>🟢 مكتملة</v>
      </c>
      <c r="M42" s="39" t="s">
        <v>668</v>
      </c>
      <c r="N42" s="39" t="s">
        <v>669</v>
      </c>
      <c r="O42" s="39"/>
      <c r="P42" s="39" t="s">
        <v>53</v>
      </c>
    </row>
    <row r="43" spans="1:16" ht="27.75" hidden="1" customHeight="1" x14ac:dyDescent="0.4">
      <c r="A43" s="13">
        <v>41</v>
      </c>
      <c r="B43" s="40" t="s">
        <v>675</v>
      </c>
      <c r="C43" s="40" t="s">
        <v>42</v>
      </c>
      <c r="D43" s="40"/>
      <c r="E43" s="6"/>
      <c r="F43" s="7"/>
      <c r="G43" s="14" t="s">
        <v>28</v>
      </c>
      <c r="H43" s="9">
        <v>1</v>
      </c>
      <c r="I43" s="10">
        <v>45446</v>
      </c>
      <c r="J43" s="10">
        <v>45565</v>
      </c>
      <c r="K43" s="11" t="str">
        <f t="shared" ca="1" si="0"/>
        <v>✓</v>
      </c>
      <c r="L43" s="12" t="str">
        <f t="shared" ca="1" si="2"/>
        <v>🟢 مكتملة</v>
      </c>
      <c r="M43" s="40" t="s">
        <v>679</v>
      </c>
      <c r="N43" s="40" t="s">
        <v>77</v>
      </c>
      <c r="O43" s="40"/>
      <c r="P43" s="40" t="s">
        <v>53</v>
      </c>
    </row>
    <row r="44" spans="1:16" ht="27.75" hidden="1" customHeight="1" x14ac:dyDescent="0.4">
      <c r="A44" s="13">
        <v>42</v>
      </c>
      <c r="B44" s="40" t="s">
        <v>699</v>
      </c>
      <c r="C44" s="40" t="s">
        <v>31</v>
      </c>
      <c r="D44" s="40"/>
      <c r="E44" s="6"/>
      <c r="F44" s="7"/>
      <c r="G44" s="8" t="s">
        <v>20</v>
      </c>
      <c r="H44" s="9">
        <v>0.3</v>
      </c>
      <c r="I44" s="10">
        <v>45537</v>
      </c>
      <c r="J44" s="10">
        <v>45611</v>
      </c>
      <c r="K44" s="11">
        <f t="shared" ca="1" si="0"/>
        <v>-503</v>
      </c>
      <c r="L44" s="12" t="str">
        <f t="shared" ca="1" si="2"/>
        <v>🔴 متأخرة</v>
      </c>
      <c r="M44" s="40" t="s">
        <v>700</v>
      </c>
      <c r="N44" s="40" t="s">
        <v>701</v>
      </c>
      <c r="O44" s="40"/>
      <c r="P44" s="40" t="s">
        <v>53</v>
      </c>
    </row>
    <row r="45" spans="1:16" ht="27.75" hidden="1" customHeight="1" x14ac:dyDescent="0.4">
      <c r="A45" s="5">
        <v>43</v>
      </c>
      <c r="B45" s="40" t="s">
        <v>706</v>
      </c>
      <c r="C45" s="40" t="s">
        <v>31</v>
      </c>
      <c r="D45" s="40"/>
      <c r="E45" s="6"/>
      <c r="F45" s="7"/>
      <c r="G45" s="14" t="s">
        <v>28</v>
      </c>
      <c r="H45" s="9">
        <v>1</v>
      </c>
      <c r="I45" s="10">
        <v>45536</v>
      </c>
      <c r="J45" s="10">
        <v>45538</v>
      </c>
      <c r="K45" s="11" t="str">
        <f t="shared" ca="1" si="0"/>
        <v>✓</v>
      </c>
      <c r="L45" s="12" t="str">
        <f t="shared" ca="1" si="2"/>
        <v>🟢 مكتملة</v>
      </c>
      <c r="M45" s="40" t="s">
        <v>317</v>
      </c>
      <c r="N45" s="40"/>
      <c r="O45" s="40"/>
      <c r="P45" s="40" t="s">
        <v>53</v>
      </c>
    </row>
    <row r="46" spans="1:16" ht="27.75" hidden="1" customHeight="1" x14ac:dyDescent="0.4">
      <c r="A46" s="5">
        <v>44</v>
      </c>
      <c r="B46" s="40" t="s">
        <v>707</v>
      </c>
      <c r="C46" s="40" t="s">
        <v>31</v>
      </c>
      <c r="D46" s="40"/>
      <c r="E46" s="6"/>
      <c r="F46" s="7"/>
      <c r="G46" s="14" t="s">
        <v>28</v>
      </c>
      <c r="H46" s="9">
        <v>1</v>
      </c>
      <c r="I46" s="10">
        <v>45487</v>
      </c>
      <c r="J46" s="10">
        <v>45531</v>
      </c>
      <c r="K46" s="11" t="str">
        <f t="shared" ca="1" si="0"/>
        <v>✓</v>
      </c>
      <c r="L46" s="12" t="str">
        <f t="shared" ca="1" si="2"/>
        <v>🟢 مكتملة</v>
      </c>
      <c r="M46" s="40" t="s">
        <v>708</v>
      </c>
      <c r="N46" s="40" t="s">
        <v>709</v>
      </c>
      <c r="O46" s="40"/>
      <c r="P46" s="40" t="s">
        <v>53</v>
      </c>
    </row>
    <row r="47" spans="1:16" ht="27.75" hidden="1" customHeight="1" x14ac:dyDescent="0.4">
      <c r="A47" s="13">
        <v>45</v>
      </c>
      <c r="B47" s="40" t="s">
        <v>718</v>
      </c>
      <c r="C47" s="40" t="s">
        <v>55</v>
      </c>
      <c r="D47" s="40"/>
      <c r="E47" s="6"/>
      <c r="F47" s="7"/>
      <c r="G47" s="8" t="s">
        <v>20</v>
      </c>
      <c r="H47" s="9">
        <v>0.7</v>
      </c>
      <c r="I47" s="10">
        <v>45517</v>
      </c>
      <c r="J47" s="10">
        <v>45535</v>
      </c>
      <c r="K47" s="11">
        <f t="shared" ca="1" si="0"/>
        <v>-579</v>
      </c>
      <c r="L47" s="12" t="str">
        <f t="shared" ca="1" si="2"/>
        <v>🔴 متأخرة</v>
      </c>
      <c r="M47" s="40" t="s">
        <v>720</v>
      </c>
      <c r="N47" s="40" t="s">
        <v>106</v>
      </c>
      <c r="O47" s="40"/>
      <c r="P47" s="40" t="s">
        <v>53</v>
      </c>
    </row>
    <row r="48" spans="1:16" ht="27.75" hidden="1" customHeight="1" x14ac:dyDescent="0.4">
      <c r="A48" s="13">
        <v>46</v>
      </c>
      <c r="B48" s="39" t="s">
        <v>721</v>
      </c>
      <c r="C48" s="39" t="s">
        <v>229</v>
      </c>
      <c r="D48" s="39"/>
      <c r="E48" s="6"/>
      <c r="F48" s="7"/>
      <c r="G48" s="8" t="s">
        <v>20</v>
      </c>
      <c r="H48" s="15">
        <v>0.5</v>
      </c>
      <c r="I48" s="16">
        <v>45536</v>
      </c>
      <c r="J48" s="16">
        <v>45547</v>
      </c>
      <c r="K48" s="11">
        <f t="shared" ca="1" si="0"/>
        <v>-567</v>
      </c>
      <c r="L48" s="12" t="str">
        <f t="shared" ca="1" si="2"/>
        <v>🔴 متأخرة</v>
      </c>
      <c r="M48" s="39" t="s">
        <v>722</v>
      </c>
      <c r="N48" s="39" t="s">
        <v>723</v>
      </c>
      <c r="O48" s="39"/>
      <c r="P48" s="39" t="s">
        <v>53</v>
      </c>
    </row>
    <row r="49" spans="1:16" ht="27.75" hidden="1" customHeight="1" x14ac:dyDescent="0.4">
      <c r="A49" s="5">
        <v>47</v>
      </c>
      <c r="B49" s="40" t="s">
        <v>770</v>
      </c>
      <c r="C49" s="40" t="s">
        <v>38</v>
      </c>
      <c r="D49" s="40"/>
      <c r="E49" s="6"/>
      <c r="F49" s="7"/>
      <c r="G49" s="8" t="s">
        <v>20</v>
      </c>
      <c r="H49" s="9">
        <v>0.5</v>
      </c>
      <c r="I49" s="10">
        <v>45518</v>
      </c>
      <c r="J49" s="10">
        <v>45565</v>
      </c>
      <c r="K49" s="11">
        <f t="shared" ca="1" si="0"/>
        <v>-549</v>
      </c>
      <c r="L49" s="12" t="str">
        <f t="shared" ca="1" si="2"/>
        <v>🔴 متأخرة</v>
      </c>
      <c r="M49" s="40" t="s">
        <v>772</v>
      </c>
      <c r="N49" s="40" t="s">
        <v>106</v>
      </c>
      <c r="O49" s="40"/>
      <c r="P49" s="40" t="s">
        <v>53</v>
      </c>
    </row>
    <row r="50" spans="1:16" ht="27.75" hidden="1" customHeight="1" x14ac:dyDescent="0.4">
      <c r="A50" s="5">
        <v>48</v>
      </c>
      <c r="B50" s="40" t="s">
        <v>781</v>
      </c>
      <c r="C50" s="40" t="s">
        <v>176</v>
      </c>
      <c r="D50" s="40"/>
      <c r="E50" s="6"/>
      <c r="F50" s="7"/>
      <c r="G50" s="8" t="s">
        <v>20</v>
      </c>
      <c r="H50" s="9">
        <v>0.95</v>
      </c>
      <c r="I50" s="10">
        <v>45518</v>
      </c>
      <c r="J50" s="10">
        <v>45525</v>
      </c>
      <c r="K50" s="11">
        <f t="shared" ca="1" si="0"/>
        <v>-589</v>
      </c>
      <c r="L50" s="12" t="str">
        <f t="shared" ca="1" si="2"/>
        <v>🔴 متأخرة</v>
      </c>
      <c r="M50" s="40" t="s">
        <v>782</v>
      </c>
      <c r="N50" s="40" t="s">
        <v>783</v>
      </c>
      <c r="O50" s="40"/>
      <c r="P50" s="40" t="s">
        <v>53</v>
      </c>
    </row>
    <row r="51" spans="1:16" ht="27.75" hidden="1" customHeight="1" x14ac:dyDescent="0.4">
      <c r="A51" s="13">
        <v>49</v>
      </c>
      <c r="B51" s="39" t="s">
        <v>784</v>
      </c>
      <c r="C51" s="39" t="s">
        <v>31</v>
      </c>
      <c r="D51" s="39"/>
      <c r="E51" s="6"/>
      <c r="F51" s="7"/>
      <c r="G51" s="8" t="s">
        <v>20</v>
      </c>
      <c r="H51" s="15">
        <v>0.8</v>
      </c>
      <c r="I51" s="16">
        <v>45518</v>
      </c>
      <c r="J51" s="16">
        <v>45565</v>
      </c>
      <c r="K51" s="11">
        <f t="shared" ca="1" si="0"/>
        <v>-549</v>
      </c>
      <c r="L51" s="12" t="str">
        <f t="shared" ca="1" si="2"/>
        <v>🔴 متأخرة</v>
      </c>
      <c r="M51" s="39" t="s">
        <v>785</v>
      </c>
      <c r="N51" s="39" t="s">
        <v>106</v>
      </c>
      <c r="O51" s="39"/>
      <c r="P51" s="39" t="s">
        <v>53</v>
      </c>
    </row>
    <row r="52" spans="1:16" ht="27.75" hidden="1" customHeight="1" x14ac:dyDescent="0.4">
      <c r="A52" s="13">
        <v>50</v>
      </c>
      <c r="B52" s="39" t="s">
        <v>109</v>
      </c>
      <c r="C52" s="39" t="s">
        <v>26</v>
      </c>
      <c r="D52" s="39"/>
      <c r="E52" s="6"/>
      <c r="F52" s="7"/>
      <c r="G52" s="14" t="s">
        <v>28</v>
      </c>
      <c r="H52" s="15">
        <v>1</v>
      </c>
      <c r="I52" s="16">
        <v>45537</v>
      </c>
      <c r="J52" s="16">
        <v>45566</v>
      </c>
      <c r="K52" s="11" t="str">
        <f t="shared" ca="1" si="0"/>
        <v>✓</v>
      </c>
      <c r="L52" s="12" t="str">
        <f t="shared" ca="1" si="2"/>
        <v>🟢 مكتملة</v>
      </c>
      <c r="M52" s="39" t="s">
        <v>110</v>
      </c>
      <c r="N52" s="39" t="s">
        <v>106</v>
      </c>
      <c r="O52" s="39"/>
      <c r="P52" s="39" t="s">
        <v>111</v>
      </c>
    </row>
    <row r="53" spans="1:16" ht="27.75" hidden="1" customHeight="1" x14ac:dyDescent="0.4">
      <c r="A53" s="13">
        <v>51</v>
      </c>
      <c r="B53" s="40" t="s">
        <v>120</v>
      </c>
      <c r="C53" s="40" t="s">
        <v>55</v>
      </c>
      <c r="D53" s="40"/>
      <c r="E53" s="6"/>
      <c r="F53" s="7"/>
      <c r="G53" s="8" t="s">
        <v>20</v>
      </c>
      <c r="H53" s="9">
        <v>0.5</v>
      </c>
      <c r="I53" s="10">
        <v>45553</v>
      </c>
      <c r="J53" s="10">
        <v>45560</v>
      </c>
      <c r="K53" s="11">
        <f t="shared" ca="1" si="0"/>
        <v>-554</v>
      </c>
      <c r="L53" s="12" t="str">
        <f t="shared" ca="1" si="2"/>
        <v>🔴 متأخرة</v>
      </c>
      <c r="M53" s="40" t="s">
        <v>122</v>
      </c>
      <c r="N53" s="40" t="s">
        <v>123</v>
      </c>
      <c r="O53" s="40"/>
      <c r="P53" s="40" t="s">
        <v>111</v>
      </c>
    </row>
    <row r="54" spans="1:16" ht="27.75" hidden="1" customHeight="1" x14ac:dyDescent="0.4">
      <c r="A54" s="13">
        <v>52</v>
      </c>
      <c r="B54" s="40" t="s">
        <v>172</v>
      </c>
      <c r="C54" s="40" t="s">
        <v>38</v>
      </c>
      <c r="D54" s="40"/>
      <c r="E54" s="6"/>
      <c r="F54" s="7"/>
      <c r="G54" s="14" t="s">
        <v>28</v>
      </c>
      <c r="H54" s="9">
        <v>1</v>
      </c>
      <c r="I54" s="10">
        <v>45518</v>
      </c>
      <c r="J54" s="10">
        <v>45565</v>
      </c>
      <c r="K54" s="11" t="str">
        <f t="shared" ca="1" si="0"/>
        <v>✓</v>
      </c>
      <c r="L54" s="12" t="str">
        <f t="shared" ca="1" si="2"/>
        <v>🟢 مكتملة</v>
      </c>
      <c r="M54" s="40" t="s">
        <v>110</v>
      </c>
      <c r="N54" s="40" t="s">
        <v>106</v>
      </c>
      <c r="O54" s="40"/>
      <c r="P54" s="40" t="s">
        <v>111</v>
      </c>
    </row>
    <row r="55" spans="1:16" ht="27.75" hidden="1" customHeight="1" x14ac:dyDescent="0.4">
      <c r="A55" s="5">
        <v>53</v>
      </c>
      <c r="B55" s="39" t="s">
        <v>173</v>
      </c>
      <c r="C55" s="39" t="s">
        <v>176</v>
      </c>
      <c r="D55" s="39"/>
      <c r="E55" s="6"/>
      <c r="F55" s="7"/>
      <c r="G55" s="8" t="s">
        <v>20</v>
      </c>
      <c r="H55" s="15">
        <v>0.5</v>
      </c>
      <c r="I55" s="16">
        <v>45518</v>
      </c>
      <c r="J55" s="16">
        <v>45565</v>
      </c>
      <c r="K55" s="11">
        <f t="shared" ca="1" si="0"/>
        <v>-549</v>
      </c>
      <c r="L55" s="12" t="str">
        <f t="shared" ca="1" si="2"/>
        <v>🔴 متأخرة</v>
      </c>
      <c r="M55" s="39" t="s">
        <v>177</v>
      </c>
      <c r="N55" s="39" t="s">
        <v>178</v>
      </c>
      <c r="O55" s="39" t="s">
        <v>179</v>
      </c>
      <c r="P55" s="39" t="s">
        <v>111</v>
      </c>
    </row>
    <row r="56" spans="1:16" ht="27.75" hidden="1" customHeight="1" x14ac:dyDescent="0.4">
      <c r="A56" s="5">
        <v>54</v>
      </c>
      <c r="B56" s="39" t="s">
        <v>190</v>
      </c>
      <c r="C56" s="39" t="s">
        <v>26</v>
      </c>
      <c r="D56" s="39"/>
      <c r="E56" s="6"/>
      <c r="F56" s="7"/>
      <c r="G56" s="8" t="s">
        <v>20</v>
      </c>
      <c r="H56" s="15">
        <v>0.75</v>
      </c>
      <c r="I56" s="16">
        <v>45519</v>
      </c>
      <c r="J56" s="16">
        <v>45534</v>
      </c>
      <c r="K56" s="11">
        <f t="shared" ca="1" si="0"/>
        <v>-580</v>
      </c>
      <c r="L56" s="12" t="str">
        <f t="shared" ca="1" si="2"/>
        <v>🔴 متأخرة</v>
      </c>
      <c r="M56" s="39" t="s">
        <v>194</v>
      </c>
      <c r="N56" s="39" t="s">
        <v>195</v>
      </c>
      <c r="O56" s="39"/>
      <c r="P56" s="39" t="s">
        <v>111</v>
      </c>
    </row>
    <row r="57" spans="1:16" ht="27.75" hidden="1" customHeight="1" x14ac:dyDescent="0.4">
      <c r="A57" s="13">
        <v>55</v>
      </c>
      <c r="B57" s="39" t="s">
        <v>209</v>
      </c>
      <c r="C57" s="39" t="s">
        <v>210</v>
      </c>
      <c r="D57" s="39"/>
      <c r="E57" s="6"/>
      <c r="F57" s="7"/>
      <c r="G57" s="8" t="s">
        <v>20</v>
      </c>
      <c r="H57" s="15"/>
      <c r="I57" s="16">
        <v>45586</v>
      </c>
      <c r="J57" s="16">
        <v>45611</v>
      </c>
      <c r="K57" s="11">
        <f t="shared" ca="1" si="0"/>
        <v>-503</v>
      </c>
      <c r="L57" s="12" t="str">
        <f t="shared" ca="1" si="2"/>
        <v>🔴 متأخرة</v>
      </c>
      <c r="M57" s="39" t="s">
        <v>211</v>
      </c>
      <c r="N57" s="39" t="s">
        <v>42</v>
      </c>
      <c r="O57" s="39"/>
      <c r="P57" s="39" t="s">
        <v>111</v>
      </c>
    </row>
    <row r="58" spans="1:16" ht="27.75" hidden="1" customHeight="1" x14ac:dyDescent="0.4">
      <c r="A58" s="13">
        <v>56</v>
      </c>
      <c r="B58" s="39" t="s">
        <v>244</v>
      </c>
      <c r="C58" s="39" t="s">
        <v>106</v>
      </c>
      <c r="D58" s="39"/>
      <c r="E58" s="6"/>
      <c r="F58" s="7"/>
      <c r="G58" s="8" t="s">
        <v>20</v>
      </c>
      <c r="H58" s="15">
        <v>1</v>
      </c>
      <c r="I58" s="16">
        <v>45480</v>
      </c>
      <c r="J58" s="13"/>
      <c r="K58" s="11" t="str">
        <f t="shared" ca="1" si="0"/>
        <v/>
      </c>
      <c r="L58" s="12" t="str">
        <f t="shared" ca="1" si="2"/>
        <v>🔴 متأخرة</v>
      </c>
      <c r="M58" s="39" t="s">
        <v>110</v>
      </c>
      <c r="N58" s="39" t="s">
        <v>106</v>
      </c>
      <c r="O58" s="39" t="s">
        <v>245</v>
      </c>
      <c r="P58" s="39" t="s">
        <v>111</v>
      </c>
    </row>
    <row r="59" spans="1:16" ht="27.75" hidden="1" customHeight="1" x14ac:dyDescent="0.4">
      <c r="A59" s="5">
        <v>57</v>
      </c>
      <c r="B59" s="40" t="s">
        <v>246</v>
      </c>
      <c r="C59" s="40" t="s">
        <v>42</v>
      </c>
      <c r="D59" s="40"/>
      <c r="E59" s="6"/>
      <c r="F59" s="7"/>
      <c r="G59" s="14" t="s">
        <v>28</v>
      </c>
      <c r="H59" s="9">
        <v>1</v>
      </c>
      <c r="I59" s="10">
        <v>45585</v>
      </c>
      <c r="J59" s="10">
        <v>45589</v>
      </c>
      <c r="K59" s="11" t="str">
        <f t="shared" ca="1" si="0"/>
        <v>✓</v>
      </c>
      <c r="L59" s="12" t="str">
        <f t="shared" ca="1" si="2"/>
        <v>🟢 مكتملة</v>
      </c>
      <c r="M59" s="40" t="s">
        <v>247</v>
      </c>
      <c r="N59" s="40" t="s">
        <v>248</v>
      </c>
      <c r="O59" s="40"/>
      <c r="P59" s="40" t="s">
        <v>111</v>
      </c>
    </row>
    <row r="60" spans="1:16" ht="27.75" hidden="1" customHeight="1" x14ac:dyDescent="0.4">
      <c r="A60" s="5">
        <v>58</v>
      </c>
      <c r="B60" s="39" t="s">
        <v>251</v>
      </c>
      <c r="C60" s="39" t="s">
        <v>26</v>
      </c>
      <c r="D60" s="39"/>
      <c r="E60" s="6"/>
      <c r="F60" s="7"/>
      <c r="G60" s="8" t="s">
        <v>20</v>
      </c>
      <c r="H60" s="15">
        <v>0.5</v>
      </c>
      <c r="I60" s="16">
        <v>45292</v>
      </c>
      <c r="J60" s="16">
        <v>45657</v>
      </c>
      <c r="K60" s="11">
        <f t="shared" ca="1" si="0"/>
        <v>-457</v>
      </c>
      <c r="L60" s="12" t="str">
        <f t="shared" ca="1" si="2"/>
        <v>🔴 متأخرة</v>
      </c>
      <c r="M60" s="39" t="s">
        <v>258</v>
      </c>
      <c r="N60" s="39" t="s">
        <v>259</v>
      </c>
      <c r="O60" s="39"/>
      <c r="P60" s="39" t="s">
        <v>111</v>
      </c>
    </row>
    <row r="61" spans="1:16" ht="27.75" hidden="1" customHeight="1" x14ac:dyDescent="0.4">
      <c r="A61" s="13">
        <v>59</v>
      </c>
      <c r="B61" s="40" t="s">
        <v>265</v>
      </c>
      <c r="C61" s="40" t="s">
        <v>55</v>
      </c>
      <c r="D61" s="40"/>
      <c r="E61" s="6"/>
      <c r="F61" s="7"/>
      <c r="G61" s="5" t="s">
        <v>28</v>
      </c>
      <c r="H61" s="9"/>
      <c r="I61" s="10">
        <v>45595</v>
      </c>
      <c r="J61" s="5"/>
      <c r="K61" s="11" t="str">
        <f t="shared" ca="1" si="0"/>
        <v/>
      </c>
      <c r="L61" s="12" t="str">
        <f t="shared" ca="1" si="2"/>
        <v>🟢 مكتملة</v>
      </c>
      <c r="M61" s="40" t="s">
        <v>266</v>
      </c>
      <c r="N61" s="40"/>
      <c r="O61" s="40"/>
      <c r="P61" s="40" t="s">
        <v>111</v>
      </c>
    </row>
    <row r="62" spans="1:16" ht="27.75" hidden="1" customHeight="1" x14ac:dyDescent="0.4">
      <c r="A62" s="13">
        <v>60</v>
      </c>
      <c r="B62" s="39" t="s">
        <v>276</v>
      </c>
      <c r="C62" s="39" t="s">
        <v>279</v>
      </c>
      <c r="D62" s="39"/>
      <c r="E62" s="6"/>
      <c r="F62" s="7"/>
      <c r="G62" s="8" t="s">
        <v>20</v>
      </c>
      <c r="H62" s="15">
        <v>0.5</v>
      </c>
      <c r="I62" s="16">
        <v>45518</v>
      </c>
      <c r="J62" s="16">
        <v>45525</v>
      </c>
      <c r="K62" s="11">
        <f t="shared" ca="1" si="0"/>
        <v>-589</v>
      </c>
      <c r="L62" s="12" t="str">
        <f t="shared" ca="1" si="2"/>
        <v>🔴 متأخرة</v>
      </c>
      <c r="M62" s="39" t="s">
        <v>281</v>
      </c>
      <c r="N62" s="39" t="s">
        <v>282</v>
      </c>
      <c r="O62" s="39"/>
      <c r="P62" s="39" t="s">
        <v>111</v>
      </c>
    </row>
    <row r="63" spans="1:16" ht="27.75" hidden="1" customHeight="1" x14ac:dyDescent="0.4">
      <c r="A63" s="13">
        <v>61</v>
      </c>
      <c r="B63" s="39" t="s">
        <v>354</v>
      </c>
      <c r="C63" s="39" t="s">
        <v>55</v>
      </c>
      <c r="D63" s="39"/>
      <c r="E63" s="6"/>
      <c r="F63" s="7"/>
      <c r="G63" s="14" t="s">
        <v>28</v>
      </c>
      <c r="H63" s="15">
        <v>1</v>
      </c>
      <c r="I63" s="16">
        <v>45466</v>
      </c>
      <c r="J63" s="16">
        <v>45503</v>
      </c>
      <c r="K63" s="11" t="str">
        <f t="shared" ca="1" si="0"/>
        <v>✓</v>
      </c>
      <c r="L63" s="12" t="str">
        <f t="shared" ca="1" si="2"/>
        <v>🟢 مكتملة</v>
      </c>
      <c r="M63" s="39" t="s">
        <v>357</v>
      </c>
      <c r="N63" s="39" t="s">
        <v>359</v>
      </c>
      <c r="O63" s="39"/>
      <c r="P63" s="39" t="s">
        <v>111</v>
      </c>
    </row>
    <row r="64" spans="1:16" ht="27.75" hidden="1" customHeight="1" x14ac:dyDescent="0.4">
      <c r="A64" s="13">
        <v>62</v>
      </c>
      <c r="B64" s="40" t="s">
        <v>360</v>
      </c>
      <c r="C64" s="40" t="s">
        <v>55</v>
      </c>
      <c r="D64" s="40"/>
      <c r="E64" s="6"/>
      <c r="F64" s="7"/>
      <c r="G64" s="8" t="s">
        <v>20</v>
      </c>
      <c r="H64" s="9">
        <v>0.95</v>
      </c>
      <c r="I64" s="10">
        <v>45454</v>
      </c>
      <c r="J64" s="10">
        <v>45519</v>
      </c>
      <c r="K64" s="11">
        <f t="shared" ca="1" si="0"/>
        <v>-595</v>
      </c>
      <c r="L64" s="12" t="str">
        <f t="shared" ca="1" si="2"/>
        <v>🔴 متأخرة</v>
      </c>
      <c r="M64" s="40" t="s">
        <v>365</v>
      </c>
      <c r="N64" s="40" t="s">
        <v>366</v>
      </c>
      <c r="O64" s="40" t="s">
        <v>367</v>
      </c>
      <c r="P64" s="40" t="s">
        <v>111</v>
      </c>
    </row>
    <row r="65" spans="1:16" ht="27.75" hidden="1" customHeight="1" x14ac:dyDescent="0.4">
      <c r="A65" s="5">
        <v>63</v>
      </c>
      <c r="B65" s="39" t="s">
        <v>393</v>
      </c>
      <c r="C65" s="39" t="s">
        <v>55</v>
      </c>
      <c r="D65" s="39"/>
      <c r="E65" s="6"/>
      <c r="F65" s="7"/>
      <c r="G65" s="13" t="s">
        <v>28</v>
      </c>
      <c r="H65" s="15"/>
      <c r="I65" s="16">
        <v>45595</v>
      </c>
      <c r="J65" s="13"/>
      <c r="K65" s="11" t="str">
        <f t="shared" ca="1" si="0"/>
        <v/>
      </c>
      <c r="L65" s="12" t="str">
        <f t="shared" ca="1" si="2"/>
        <v>🟢 مكتملة</v>
      </c>
      <c r="M65" s="39" t="s">
        <v>394</v>
      </c>
      <c r="N65" s="39"/>
      <c r="O65" s="39"/>
      <c r="P65" s="39" t="s">
        <v>111</v>
      </c>
    </row>
    <row r="66" spans="1:16" ht="27.75" hidden="1" customHeight="1" x14ac:dyDescent="0.4">
      <c r="A66" s="5">
        <v>64</v>
      </c>
      <c r="B66" s="39" t="s">
        <v>398</v>
      </c>
      <c r="C66" s="39" t="s">
        <v>63</v>
      </c>
      <c r="D66" s="39"/>
      <c r="E66" s="6"/>
      <c r="F66" s="7"/>
      <c r="G66" s="14" t="s">
        <v>28</v>
      </c>
      <c r="H66" s="15">
        <v>1</v>
      </c>
      <c r="I66" s="16">
        <v>45537</v>
      </c>
      <c r="J66" s="16">
        <v>45550</v>
      </c>
      <c r="K66" s="11" t="str">
        <f t="shared" ca="1" si="0"/>
        <v>✓</v>
      </c>
      <c r="L66" s="12" t="str">
        <f t="shared" ca="1" si="2"/>
        <v>🟢 مكتملة</v>
      </c>
      <c r="M66" s="39" t="s">
        <v>399</v>
      </c>
      <c r="N66" s="39" t="s">
        <v>106</v>
      </c>
      <c r="O66" s="39"/>
      <c r="P66" s="39" t="s">
        <v>111</v>
      </c>
    </row>
    <row r="67" spans="1:16" ht="27.75" hidden="1" customHeight="1" x14ac:dyDescent="0.4">
      <c r="A67" s="13">
        <v>65</v>
      </c>
      <c r="B67" s="40" t="s">
        <v>424</v>
      </c>
      <c r="C67" s="40" t="s">
        <v>279</v>
      </c>
      <c r="D67" s="40"/>
      <c r="E67" s="6"/>
      <c r="F67" s="7"/>
      <c r="G67" s="5" t="s">
        <v>28</v>
      </c>
      <c r="H67" s="9"/>
      <c r="I67" s="10">
        <v>45595</v>
      </c>
      <c r="J67" s="10">
        <v>45606</v>
      </c>
      <c r="K67" s="11" t="str">
        <f t="shared" ref="K67:K130" ca="1" si="3">IFERROR(IF(J67="","",IF(G67="مكتملة","✓",J67-TODAY())),"تاريخ غير صحيح")</f>
        <v>✓</v>
      </c>
      <c r="L67" s="12" t="str">
        <f t="shared" ref="L67:L98" ca="1" si="4">IF(G67="مكتملة","🟢 مكتملة",IF(G67="لم تبدأ","⚪ لم تبدأ",IF(J67&lt;TODAY(),"🔴 متأخرة",IF(AND(I67&lt;&gt;"",J67&lt;&gt;"",H67&lt;&gt;"",((TODAY()-I67)/(J67-I67)-H67)&gt;0.3),"🟡 تحتاج متابعة","🟢 في المسار"))))</f>
        <v>🟢 مكتملة</v>
      </c>
      <c r="M67" s="40" t="s">
        <v>425</v>
      </c>
      <c r="N67" s="40"/>
      <c r="O67" s="40"/>
      <c r="P67" s="40" t="s">
        <v>111</v>
      </c>
    </row>
    <row r="68" spans="1:16" ht="27.75" hidden="1" customHeight="1" x14ac:dyDescent="0.4">
      <c r="A68" s="13">
        <v>66</v>
      </c>
      <c r="B68" s="40" t="s">
        <v>426</v>
      </c>
      <c r="C68" s="40" t="s">
        <v>31</v>
      </c>
      <c r="D68" s="40"/>
      <c r="E68" s="6"/>
      <c r="F68" s="7"/>
      <c r="G68" s="8" t="s">
        <v>20</v>
      </c>
      <c r="H68" s="9">
        <v>0.9</v>
      </c>
      <c r="I68" s="10">
        <v>45533</v>
      </c>
      <c r="J68" s="10">
        <v>45589</v>
      </c>
      <c r="K68" s="11">
        <f t="shared" ca="1" si="3"/>
        <v>-525</v>
      </c>
      <c r="L68" s="12" t="str">
        <f t="shared" ca="1" si="4"/>
        <v>🔴 متأخرة</v>
      </c>
      <c r="M68" s="40" t="s">
        <v>430</v>
      </c>
      <c r="N68" s="40" t="s">
        <v>431</v>
      </c>
      <c r="O68" s="40" t="s">
        <v>432</v>
      </c>
      <c r="P68" s="40" t="s">
        <v>111</v>
      </c>
    </row>
    <row r="69" spans="1:16" ht="27.75" hidden="1" customHeight="1" x14ac:dyDescent="0.4">
      <c r="A69" s="5">
        <v>67</v>
      </c>
      <c r="B69" s="40" t="s">
        <v>454</v>
      </c>
      <c r="C69" s="40" t="s">
        <v>279</v>
      </c>
      <c r="D69" s="40"/>
      <c r="E69" s="6"/>
      <c r="F69" s="7"/>
      <c r="G69" s="8" t="s">
        <v>20</v>
      </c>
      <c r="H69" s="9"/>
      <c r="I69" s="10">
        <v>45586</v>
      </c>
      <c r="J69" s="10">
        <v>45593</v>
      </c>
      <c r="K69" s="11">
        <f t="shared" ca="1" si="3"/>
        <v>-521</v>
      </c>
      <c r="L69" s="12" t="str">
        <f t="shared" ca="1" si="4"/>
        <v>🔴 متأخرة</v>
      </c>
      <c r="M69" s="40" t="s">
        <v>65</v>
      </c>
      <c r="N69" s="40"/>
      <c r="O69" s="40"/>
      <c r="P69" s="40" t="s">
        <v>111</v>
      </c>
    </row>
    <row r="70" spans="1:16" ht="27.75" hidden="1" customHeight="1" x14ac:dyDescent="0.4">
      <c r="A70" s="5">
        <v>68</v>
      </c>
      <c r="B70" s="40" t="s">
        <v>456</v>
      </c>
      <c r="C70" s="40" t="s">
        <v>50</v>
      </c>
      <c r="D70" s="40"/>
      <c r="E70" s="6"/>
      <c r="F70" s="7"/>
      <c r="G70" s="8" t="s">
        <v>20</v>
      </c>
      <c r="H70" s="9">
        <v>0.5</v>
      </c>
      <c r="I70" s="10">
        <v>45585</v>
      </c>
      <c r="J70" s="10">
        <v>45589</v>
      </c>
      <c r="K70" s="11">
        <f t="shared" ca="1" si="3"/>
        <v>-525</v>
      </c>
      <c r="L70" s="12" t="str">
        <f t="shared" ca="1" si="4"/>
        <v>🔴 متأخرة</v>
      </c>
      <c r="M70" s="40" t="s">
        <v>457</v>
      </c>
      <c r="N70" s="40" t="s">
        <v>458</v>
      </c>
      <c r="O70" s="40"/>
      <c r="P70" s="40" t="s">
        <v>111</v>
      </c>
    </row>
    <row r="71" spans="1:16" ht="27.75" hidden="1" customHeight="1" x14ac:dyDescent="0.4">
      <c r="A71" s="13">
        <v>69</v>
      </c>
      <c r="B71" s="40" t="s">
        <v>475</v>
      </c>
      <c r="C71" s="40" t="s">
        <v>18</v>
      </c>
      <c r="D71" s="40"/>
      <c r="E71" s="6"/>
      <c r="F71" s="7"/>
      <c r="G71" s="14" t="s">
        <v>28</v>
      </c>
      <c r="H71" s="9">
        <v>1</v>
      </c>
      <c r="I71" s="10">
        <v>45536</v>
      </c>
      <c r="J71" s="10">
        <v>45580</v>
      </c>
      <c r="K71" s="11" t="str">
        <f t="shared" ca="1" si="3"/>
        <v>✓</v>
      </c>
      <c r="L71" s="12" t="str">
        <f t="shared" ca="1" si="4"/>
        <v>🟢 مكتملة</v>
      </c>
      <c r="M71" s="40" t="s">
        <v>478</v>
      </c>
      <c r="N71" s="40" t="s">
        <v>477</v>
      </c>
      <c r="O71" s="40"/>
      <c r="P71" s="40" t="s">
        <v>111</v>
      </c>
    </row>
    <row r="72" spans="1:16" ht="27.75" hidden="1" customHeight="1" x14ac:dyDescent="0.4">
      <c r="A72" s="13">
        <v>70</v>
      </c>
      <c r="B72" s="39" t="s">
        <v>479</v>
      </c>
      <c r="C72" s="39" t="s">
        <v>26</v>
      </c>
      <c r="D72" s="39"/>
      <c r="E72" s="6"/>
      <c r="F72" s="7"/>
      <c r="G72" s="14" t="s">
        <v>28</v>
      </c>
      <c r="H72" s="15">
        <v>1</v>
      </c>
      <c r="I72" s="16"/>
      <c r="J72" s="13"/>
      <c r="K72" s="11" t="str">
        <f t="shared" ca="1" si="3"/>
        <v/>
      </c>
      <c r="L72" s="12" t="str">
        <f t="shared" ca="1" si="4"/>
        <v>🟢 مكتملة</v>
      </c>
      <c r="M72" s="39" t="s">
        <v>480</v>
      </c>
      <c r="N72" s="39" t="s">
        <v>481</v>
      </c>
      <c r="O72" s="39"/>
      <c r="P72" s="39" t="s">
        <v>111</v>
      </c>
    </row>
    <row r="73" spans="1:16" ht="27.75" hidden="1" customHeight="1" x14ac:dyDescent="0.4">
      <c r="A73" s="13">
        <v>71</v>
      </c>
      <c r="B73" s="40" t="s">
        <v>557</v>
      </c>
      <c r="C73" s="40" t="s">
        <v>26</v>
      </c>
      <c r="D73" s="40"/>
      <c r="E73" s="6"/>
      <c r="F73" s="7"/>
      <c r="G73" s="14" t="s">
        <v>28</v>
      </c>
      <c r="H73" s="9">
        <v>1</v>
      </c>
      <c r="I73" s="10">
        <v>45536</v>
      </c>
      <c r="J73" s="10">
        <v>45570</v>
      </c>
      <c r="K73" s="11" t="str">
        <f t="shared" ca="1" si="3"/>
        <v>✓</v>
      </c>
      <c r="L73" s="12" t="str">
        <f t="shared" ca="1" si="4"/>
        <v>🟢 مكتملة</v>
      </c>
      <c r="M73" s="40" t="s">
        <v>558</v>
      </c>
      <c r="N73" s="40" t="s">
        <v>106</v>
      </c>
      <c r="O73" s="40"/>
      <c r="P73" s="40" t="s">
        <v>111</v>
      </c>
    </row>
    <row r="74" spans="1:16" ht="27.75" hidden="1" customHeight="1" x14ac:dyDescent="0.4">
      <c r="A74" s="13">
        <v>72</v>
      </c>
      <c r="B74" s="39" t="s">
        <v>561</v>
      </c>
      <c r="C74" s="39" t="s">
        <v>26</v>
      </c>
      <c r="D74" s="39"/>
      <c r="E74" s="6"/>
      <c r="F74" s="7"/>
      <c r="G74" s="14" t="s">
        <v>28</v>
      </c>
      <c r="H74" s="15">
        <v>1</v>
      </c>
      <c r="I74" s="16">
        <v>45536</v>
      </c>
      <c r="J74" s="16">
        <v>45570</v>
      </c>
      <c r="K74" s="11" t="str">
        <f t="shared" ca="1" si="3"/>
        <v>✓</v>
      </c>
      <c r="L74" s="12" t="str">
        <f t="shared" ca="1" si="4"/>
        <v>🟢 مكتملة</v>
      </c>
      <c r="M74" s="39" t="s">
        <v>558</v>
      </c>
      <c r="N74" s="39" t="s">
        <v>562</v>
      </c>
      <c r="O74" s="39"/>
      <c r="P74" s="39" t="s">
        <v>111</v>
      </c>
    </row>
    <row r="75" spans="1:16" ht="27.75" hidden="1" customHeight="1" x14ac:dyDescent="0.4">
      <c r="A75" s="5">
        <v>73</v>
      </c>
      <c r="B75" s="40" t="s">
        <v>569</v>
      </c>
      <c r="C75" s="40" t="s">
        <v>279</v>
      </c>
      <c r="D75" s="40"/>
      <c r="E75" s="6"/>
      <c r="F75" s="7"/>
      <c r="G75" s="8" t="s">
        <v>20</v>
      </c>
      <c r="H75" s="9">
        <v>0.85</v>
      </c>
      <c r="I75" s="10">
        <v>45496</v>
      </c>
      <c r="J75" s="10">
        <v>45554</v>
      </c>
      <c r="K75" s="11">
        <f t="shared" ca="1" si="3"/>
        <v>-560</v>
      </c>
      <c r="L75" s="12" t="str">
        <f t="shared" ca="1" si="4"/>
        <v>🔴 متأخرة</v>
      </c>
      <c r="M75" s="40" t="s">
        <v>573</v>
      </c>
      <c r="N75" s="40" t="s">
        <v>572</v>
      </c>
      <c r="O75" s="40" t="s">
        <v>574</v>
      </c>
      <c r="P75" s="40" t="s">
        <v>111</v>
      </c>
    </row>
    <row r="76" spans="1:16" ht="27.75" hidden="1" customHeight="1" x14ac:dyDescent="0.4">
      <c r="A76" s="5">
        <v>74</v>
      </c>
      <c r="B76" s="40" t="s">
        <v>576</v>
      </c>
      <c r="C76" s="40" t="s">
        <v>55</v>
      </c>
      <c r="D76" s="40"/>
      <c r="E76" s="6"/>
      <c r="F76" s="7"/>
      <c r="G76" s="14" t="s">
        <v>28</v>
      </c>
      <c r="H76" s="9">
        <v>1</v>
      </c>
      <c r="I76" s="10">
        <v>45431</v>
      </c>
      <c r="J76" s="10">
        <v>45519</v>
      </c>
      <c r="K76" s="11" t="str">
        <f t="shared" ca="1" si="3"/>
        <v>✓</v>
      </c>
      <c r="L76" s="12" t="str">
        <f t="shared" ca="1" si="4"/>
        <v>🟢 مكتملة</v>
      </c>
      <c r="M76" s="40" t="s">
        <v>581</v>
      </c>
      <c r="N76" s="40" t="s">
        <v>583</v>
      </c>
      <c r="O76" s="40"/>
      <c r="P76" s="40" t="s">
        <v>111</v>
      </c>
    </row>
    <row r="77" spans="1:16" ht="27.75" hidden="1" customHeight="1" x14ac:dyDescent="0.4">
      <c r="A77" s="13">
        <v>75</v>
      </c>
      <c r="B77" s="40" t="s">
        <v>621</v>
      </c>
      <c r="C77" s="40" t="s">
        <v>55</v>
      </c>
      <c r="D77" s="40"/>
      <c r="E77" s="6"/>
      <c r="F77" s="7"/>
      <c r="G77" s="8" t="s">
        <v>20</v>
      </c>
      <c r="H77" s="9">
        <v>0.9</v>
      </c>
      <c r="I77" s="10">
        <v>45448</v>
      </c>
      <c r="J77" s="10">
        <v>45559</v>
      </c>
      <c r="K77" s="11">
        <f t="shared" ca="1" si="3"/>
        <v>-555</v>
      </c>
      <c r="L77" s="12" t="str">
        <f t="shared" ca="1" si="4"/>
        <v>🔴 متأخرة</v>
      </c>
      <c r="M77" s="40" t="s">
        <v>624</v>
      </c>
      <c r="N77" s="40" t="s">
        <v>625</v>
      </c>
      <c r="O77" s="40"/>
      <c r="P77" s="40" t="s">
        <v>111</v>
      </c>
    </row>
    <row r="78" spans="1:16" ht="27.75" hidden="1" customHeight="1" x14ac:dyDescent="0.4">
      <c r="A78" s="13">
        <v>76</v>
      </c>
      <c r="B78" s="39" t="s">
        <v>661</v>
      </c>
      <c r="C78" s="39" t="s">
        <v>97</v>
      </c>
      <c r="D78" s="39"/>
      <c r="E78" s="6"/>
      <c r="F78" s="7"/>
      <c r="G78" s="14" t="s">
        <v>28</v>
      </c>
      <c r="H78" s="15">
        <v>1</v>
      </c>
      <c r="I78" s="16">
        <v>45550</v>
      </c>
      <c r="J78" s="16">
        <v>45581</v>
      </c>
      <c r="K78" s="11" t="str">
        <f t="shared" ca="1" si="3"/>
        <v>✓</v>
      </c>
      <c r="L78" s="12" t="str">
        <f t="shared" ca="1" si="4"/>
        <v>🟢 مكتملة</v>
      </c>
      <c r="M78" s="39" t="s">
        <v>662</v>
      </c>
      <c r="N78" s="39"/>
      <c r="O78" s="39"/>
      <c r="P78" s="39" t="s">
        <v>111</v>
      </c>
    </row>
    <row r="79" spans="1:16" ht="27.75" hidden="1" customHeight="1" x14ac:dyDescent="0.4">
      <c r="A79" s="5">
        <v>77</v>
      </c>
      <c r="B79" s="40" t="s">
        <v>670</v>
      </c>
      <c r="C79" s="40" t="s">
        <v>279</v>
      </c>
      <c r="D79" s="40"/>
      <c r="E79" s="6"/>
      <c r="F79" s="7"/>
      <c r="G79" s="8" t="s">
        <v>20</v>
      </c>
      <c r="H79" s="9">
        <v>0.25</v>
      </c>
      <c r="I79" s="10">
        <v>45536</v>
      </c>
      <c r="J79" s="10">
        <v>45570</v>
      </c>
      <c r="K79" s="11">
        <f t="shared" ca="1" si="3"/>
        <v>-544</v>
      </c>
      <c r="L79" s="12" t="str">
        <f t="shared" ca="1" si="4"/>
        <v>🔴 متأخرة</v>
      </c>
      <c r="M79" s="40" t="s">
        <v>671</v>
      </c>
      <c r="N79" s="40" t="s">
        <v>325</v>
      </c>
      <c r="O79" s="40"/>
      <c r="P79" s="40" t="s">
        <v>111</v>
      </c>
    </row>
    <row r="80" spans="1:16" ht="27.75" hidden="1" customHeight="1" x14ac:dyDescent="0.4">
      <c r="A80" s="5">
        <v>78</v>
      </c>
      <c r="B80" s="39" t="s">
        <v>699</v>
      </c>
      <c r="C80" s="39" t="s">
        <v>31</v>
      </c>
      <c r="D80" s="39"/>
      <c r="E80" s="6"/>
      <c r="F80" s="7"/>
      <c r="G80" s="8" t="s">
        <v>20</v>
      </c>
      <c r="H80" s="15">
        <v>0.85</v>
      </c>
      <c r="I80" s="16">
        <v>45537</v>
      </c>
      <c r="J80" s="16">
        <v>45611</v>
      </c>
      <c r="K80" s="11">
        <f t="shared" ca="1" si="3"/>
        <v>-503</v>
      </c>
      <c r="L80" s="12" t="str">
        <f t="shared" ca="1" si="4"/>
        <v>🔴 متأخرة</v>
      </c>
      <c r="M80" s="39" t="s">
        <v>700</v>
      </c>
      <c r="N80" s="39" t="s">
        <v>701</v>
      </c>
      <c r="O80" s="39" t="s">
        <v>702</v>
      </c>
      <c r="P80" s="39" t="s">
        <v>111</v>
      </c>
    </row>
    <row r="81" spans="1:16" ht="27.75" hidden="1" customHeight="1" x14ac:dyDescent="0.4">
      <c r="A81" s="13">
        <v>79</v>
      </c>
      <c r="B81" s="39" t="s">
        <v>713</v>
      </c>
      <c r="C81" s="39" t="s">
        <v>279</v>
      </c>
      <c r="D81" s="39"/>
      <c r="E81" s="6"/>
      <c r="F81" s="7"/>
      <c r="G81" s="14" t="s">
        <v>28</v>
      </c>
      <c r="H81" s="15">
        <v>1</v>
      </c>
      <c r="I81" s="16">
        <v>45586</v>
      </c>
      <c r="J81" s="16">
        <v>45586</v>
      </c>
      <c r="K81" s="11" t="str">
        <f t="shared" ca="1" si="3"/>
        <v>✓</v>
      </c>
      <c r="L81" s="12" t="str">
        <f t="shared" ca="1" si="4"/>
        <v>🟢 مكتملة</v>
      </c>
      <c r="M81" s="39" t="s">
        <v>714</v>
      </c>
      <c r="N81" s="39" t="s">
        <v>538</v>
      </c>
      <c r="O81" s="39"/>
      <c r="P81" s="39" t="s">
        <v>111</v>
      </c>
    </row>
    <row r="82" spans="1:16" ht="27.75" hidden="1" customHeight="1" x14ac:dyDescent="0.4">
      <c r="A82" s="13">
        <v>80</v>
      </c>
      <c r="B82" s="40" t="s">
        <v>721</v>
      </c>
      <c r="C82" s="40" t="s">
        <v>229</v>
      </c>
      <c r="D82" s="40"/>
      <c r="E82" s="6"/>
      <c r="F82" s="7"/>
      <c r="G82" s="8" t="s">
        <v>20</v>
      </c>
      <c r="H82" s="9">
        <v>0.95</v>
      </c>
      <c r="I82" s="10">
        <v>45536</v>
      </c>
      <c r="J82" s="10">
        <v>45547</v>
      </c>
      <c r="K82" s="11">
        <f t="shared" ca="1" si="3"/>
        <v>-567</v>
      </c>
      <c r="L82" s="12" t="str">
        <f t="shared" ca="1" si="4"/>
        <v>🔴 متأخرة</v>
      </c>
      <c r="M82" s="40" t="s">
        <v>724</v>
      </c>
      <c r="N82" s="40"/>
      <c r="O82" s="40"/>
      <c r="P82" s="40" t="s">
        <v>111</v>
      </c>
    </row>
    <row r="83" spans="1:16" ht="27.75" hidden="1" customHeight="1" x14ac:dyDescent="0.4">
      <c r="A83" s="13">
        <v>81</v>
      </c>
      <c r="B83" s="39" t="s">
        <v>732</v>
      </c>
      <c r="C83" s="39" t="s">
        <v>55</v>
      </c>
      <c r="D83" s="39"/>
      <c r="E83" s="6"/>
      <c r="F83" s="7"/>
      <c r="G83" s="13" t="s">
        <v>28</v>
      </c>
      <c r="H83" s="15"/>
      <c r="I83" s="16">
        <v>45595</v>
      </c>
      <c r="J83" s="13"/>
      <c r="K83" s="11" t="str">
        <f t="shared" ca="1" si="3"/>
        <v/>
      </c>
      <c r="L83" s="12" t="str">
        <f t="shared" ca="1" si="4"/>
        <v>🟢 مكتملة</v>
      </c>
      <c r="M83" s="39" t="s">
        <v>733</v>
      </c>
      <c r="N83" s="39"/>
      <c r="O83" s="39"/>
      <c r="P83" s="39" t="s">
        <v>111</v>
      </c>
    </row>
    <row r="84" spans="1:16" ht="27.75" hidden="1" customHeight="1" x14ac:dyDescent="0.4">
      <c r="A84" s="13">
        <v>82</v>
      </c>
      <c r="B84" s="39" t="s">
        <v>770</v>
      </c>
      <c r="C84" s="39" t="s">
        <v>38</v>
      </c>
      <c r="D84" s="39"/>
      <c r="E84" s="6"/>
      <c r="F84" s="7"/>
      <c r="G84" s="8" t="s">
        <v>20</v>
      </c>
      <c r="H84" s="15">
        <v>0.5</v>
      </c>
      <c r="I84" s="16">
        <v>45518</v>
      </c>
      <c r="J84" s="16">
        <v>45646</v>
      </c>
      <c r="K84" s="11">
        <f t="shared" ca="1" si="3"/>
        <v>-468</v>
      </c>
      <c r="L84" s="12" t="str">
        <f t="shared" ca="1" si="4"/>
        <v>🔴 متأخرة</v>
      </c>
      <c r="M84" s="39" t="s">
        <v>773</v>
      </c>
      <c r="N84" s="39" t="s">
        <v>774</v>
      </c>
      <c r="O84" s="39"/>
      <c r="P84" s="39" t="s">
        <v>111</v>
      </c>
    </row>
    <row r="85" spans="1:16" ht="27.75" hidden="1" customHeight="1" x14ac:dyDescent="0.4">
      <c r="A85" s="5">
        <v>83</v>
      </c>
      <c r="B85" s="39" t="s">
        <v>781</v>
      </c>
      <c r="C85" s="39" t="s">
        <v>176</v>
      </c>
      <c r="D85" s="39"/>
      <c r="E85" s="6"/>
      <c r="F85" s="7"/>
      <c r="G85" s="14" t="s">
        <v>28</v>
      </c>
      <c r="H85" s="15">
        <v>1</v>
      </c>
      <c r="I85" s="16">
        <v>45518</v>
      </c>
      <c r="J85" s="16">
        <v>45525</v>
      </c>
      <c r="K85" s="11" t="str">
        <f t="shared" ca="1" si="3"/>
        <v>✓</v>
      </c>
      <c r="L85" s="12" t="str">
        <f t="shared" ca="1" si="4"/>
        <v>🟢 مكتملة</v>
      </c>
      <c r="M85" s="39" t="s">
        <v>782</v>
      </c>
      <c r="N85" s="39" t="s">
        <v>77</v>
      </c>
      <c r="O85" s="39"/>
      <c r="P85" s="39" t="s">
        <v>111</v>
      </c>
    </row>
    <row r="86" spans="1:16" ht="27.75" hidden="1" customHeight="1" x14ac:dyDescent="0.4">
      <c r="A86" s="5">
        <v>84</v>
      </c>
      <c r="B86" s="40" t="s">
        <v>784</v>
      </c>
      <c r="C86" s="40" t="s">
        <v>42</v>
      </c>
      <c r="D86" s="40"/>
      <c r="E86" s="6"/>
      <c r="F86" s="7"/>
      <c r="G86" s="8" t="s">
        <v>20</v>
      </c>
      <c r="H86" s="9">
        <v>0.8</v>
      </c>
      <c r="I86" s="10">
        <v>45518</v>
      </c>
      <c r="J86" s="10">
        <v>45565</v>
      </c>
      <c r="K86" s="11">
        <f t="shared" ca="1" si="3"/>
        <v>-549</v>
      </c>
      <c r="L86" s="12" t="str">
        <f t="shared" ca="1" si="4"/>
        <v>🔴 متأخرة</v>
      </c>
      <c r="M86" s="40" t="s">
        <v>786</v>
      </c>
      <c r="N86" s="40" t="s">
        <v>787</v>
      </c>
      <c r="O86" s="40"/>
      <c r="P86" s="40" t="s">
        <v>111</v>
      </c>
    </row>
    <row r="87" spans="1:16" ht="27.75" hidden="1" customHeight="1" x14ac:dyDescent="0.4">
      <c r="A87" s="13">
        <v>85</v>
      </c>
      <c r="B87" s="39" t="s">
        <v>120</v>
      </c>
      <c r="C87" s="39" t="s">
        <v>55</v>
      </c>
      <c r="D87" s="39" t="s">
        <v>124</v>
      </c>
      <c r="E87" s="6"/>
      <c r="F87" s="7"/>
      <c r="G87" s="8" t="s">
        <v>20</v>
      </c>
      <c r="H87" s="15">
        <v>0.5</v>
      </c>
      <c r="I87" s="16">
        <v>45553</v>
      </c>
      <c r="J87" s="16">
        <v>45560</v>
      </c>
      <c r="K87" s="11">
        <f t="shared" ca="1" si="3"/>
        <v>-554</v>
      </c>
      <c r="L87" s="12" t="str">
        <f t="shared" ca="1" si="4"/>
        <v>🔴 متأخرة</v>
      </c>
      <c r="M87" s="39" t="s">
        <v>125</v>
      </c>
      <c r="N87" s="39" t="s">
        <v>126</v>
      </c>
      <c r="O87" s="39"/>
      <c r="P87" s="39" t="s">
        <v>127</v>
      </c>
    </row>
    <row r="88" spans="1:16" ht="27.75" hidden="1" customHeight="1" x14ac:dyDescent="0.4">
      <c r="A88" s="13">
        <v>86</v>
      </c>
      <c r="B88" s="40" t="s">
        <v>173</v>
      </c>
      <c r="C88" s="40" t="s">
        <v>176</v>
      </c>
      <c r="D88" s="40" t="s">
        <v>174</v>
      </c>
      <c r="E88" s="6"/>
      <c r="F88" s="7"/>
      <c r="G88" s="8" t="s">
        <v>20</v>
      </c>
      <c r="H88" s="9">
        <v>0.5</v>
      </c>
      <c r="I88" s="10">
        <v>45518</v>
      </c>
      <c r="J88" s="10">
        <v>45565</v>
      </c>
      <c r="K88" s="11">
        <f t="shared" ca="1" si="3"/>
        <v>-549</v>
      </c>
      <c r="L88" s="12" t="str">
        <f t="shared" ca="1" si="4"/>
        <v>🔴 متأخرة</v>
      </c>
      <c r="M88" s="40" t="s">
        <v>177</v>
      </c>
      <c r="N88" s="40" t="s">
        <v>178</v>
      </c>
      <c r="O88" s="40" t="s">
        <v>179</v>
      </c>
      <c r="P88" s="40" t="s">
        <v>127</v>
      </c>
    </row>
    <row r="89" spans="1:16" ht="27.75" hidden="1" customHeight="1" x14ac:dyDescent="0.4">
      <c r="A89" s="5">
        <v>87</v>
      </c>
      <c r="B89" s="40" t="s">
        <v>190</v>
      </c>
      <c r="C89" s="40" t="s">
        <v>26</v>
      </c>
      <c r="D89" s="40" t="s">
        <v>186</v>
      </c>
      <c r="E89" s="6"/>
      <c r="F89" s="7"/>
      <c r="G89" s="8" t="s">
        <v>20</v>
      </c>
      <c r="H89" s="9">
        <v>0.75</v>
      </c>
      <c r="I89" s="10">
        <v>45519</v>
      </c>
      <c r="J89" s="10">
        <v>45534</v>
      </c>
      <c r="K89" s="11">
        <f t="shared" ca="1" si="3"/>
        <v>-580</v>
      </c>
      <c r="L89" s="12" t="str">
        <f t="shared" ca="1" si="4"/>
        <v>🔴 متأخرة</v>
      </c>
      <c r="M89" s="40" t="s">
        <v>196</v>
      </c>
      <c r="N89" s="40" t="s">
        <v>195</v>
      </c>
      <c r="O89" s="40"/>
      <c r="P89" s="40" t="s">
        <v>127</v>
      </c>
    </row>
    <row r="90" spans="1:16" ht="27.75" hidden="1" customHeight="1" x14ac:dyDescent="0.4">
      <c r="A90" s="5">
        <v>88</v>
      </c>
      <c r="B90" s="40" t="s">
        <v>209</v>
      </c>
      <c r="C90" s="40" t="s">
        <v>210</v>
      </c>
      <c r="D90" s="40" t="s">
        <v>212</v>
      </c>
      <c r="E90" s="6"/>
      <c r="F90" s="7"/>
      <c r="G90" s="14" t="s">
        <v>28</v>
      </c>
      <c r="H90" s="9">
        <v>1</v>
      </c>
      <c r="I90" s="10">
        <v>45586</v>
      </c>
      <c r="J90" s="10">
        <v>45611</v>
      </c>
      <c r="K90" s="11" t="str">
        <f t="shared" ca="1" si="3"/>
        <v>✓</v>
      </c>
      <c r="L90" s="12" t="str">
        <f t="shared" ca="1" si="4"/>
        <v>🟢 مكتملة</v>
      </c>
      <c r="M90" s="40" t="s">
        <v>211</v>
      </c>
      <c r="N90" s="40" t="s">
        <v>213</v>
      </c>
      <c r="O90" s="40"/>
      <c r="P90" s="40" t="s">
        <v>127</v>
      </c>
    </row>
    <row r="91" spans="1:16" ht="27.75" hidden="1" customHeight="1" x14ac:dyDescent="0.4">
      <c r="A91" s="13">
        <v>89</v>
      </c>
      <c r="B91" s="40" t="s">
        <v>251</v>
      </c>
      <c r="C91" s="40" t="s">
        <v>26</v>
      </c>
      <c r="D91" s="40" t="s">
        <v>27</v>
      </c>
      <c r="E91" s="6"/>
      <c r="F91" s="7"/>
      <c r="G91" s="8" t="s">
        <v>20</v>
      </c>
      <c r="H91" s="9">
        <v>0.5</v>
      </c>
      <c r="I91" s="10">
        <v>45292</v>
      </c>
      <c r="J91" s="10">
        <v>45657</v>
      </c>
      <c r="K91" s="11">
        <f t="shared" ca="1" si="3"/>
        <v>-457</v>
      </c>
      <c r="L91" s="12" t="str">
        <f t="shared" ca="1" si="4"/>
        <v>🔴 متأخرة</v>
      </c>
      <c r="M91" s="40" t="s">
        <v>258</v>
      </c>
      <c r="N91" s="40" t="s">
        <v>259</v>
      </c>
      <c r="O91" s="40"/>
      <c r="P91" s="40" t="s">
        <v>127</v>
      </c>
    </row>
    <row r="92" spans="1:16" ht="27.75" hidden="1" customHeight="1" x14ac:dyDescent="0.4">
      <c r="A92" s="13">
        <v>90</v>
      </c>
      <c r="B92" s="39" t="s">
        <v>265</v>
      </c>
      <c r="C92" s="39" t="s">
        <v>55</v>
      </c>
      <c r="D92" s="39" t="s">
        <v>267</v>
      </c>
      <c r="E92" s="6"/>
      <c r="F92" s="7"/>
      <c r="G92" s="8" t="s">
        <v>20</v>
      </c>
      <c r="H92" s="15"/>
      <c r="I92" s="16">
        <v>45595</v>
      </c>
      <c r="J92" s="13"/>
      <c r="K92" s="11" t="str">
        <f t="shared" ca="1" si="3"/>
        <v/>
      </c>
      <c r="L92" s="12" t="str">
        <f t="shared" ca="1" si="4"/>
        <v>🔴 متأخرة</v>
      </c>
      <c r="M92" s="39" t="s">
        <v>268</v>
      </c>
      <c r="N92" s="39"/>
      <c r="O92" s="39"/>
      <c r="P92" s="39" t="s">
        <v>127</v>
      </c>
    </row>
    <row r="93" spans="1:16" ht="27.75" hidden="1" customHeight="1" x14ac:dyDescent="0.4">
      <c r="A93" s="13">
        <v>91</v>
      </c>
      <c r="B93" s="40" t="s">
        <v>276</v>
      </c>
      <c r="C93" s="40" t="s">
        <v>279</v>
      </c>
      <c r="D93" s="40" t="s">
        <v>277</v>
      </c>
      <c r="E93" s="6"/>
      <c r="F93" s="7"/>
      <c r="G93" s="8" t="s">
        <v>20</v>
      </c>
      <c r="H93" s="9">
        <v>0.5</v>
      </c>
      <c r="I93" s="10">
        <v>45518</v>
      </c>
      <c r="J93" s="10">
        <v>45525</v>
      </c>
      <c r="K93" s="11">
        <f t="shared" ca="1" si="3"/>
        <v>-589</v>
      </c>
      <c r="L93" s="12" t="str">
        <f t="shared" ca="1" si="4"/>
        <v>🔴 متأخرة</v>
      </c>
      <c r="M93" s="40" t="s">
        <v>281</v>
      </c>
      <c r="N93" s="40" t="s">
        <v>283</v>
      </c>
      <c r="O93" s="40"/>
      <c r="P93" s="40" t="s">
        <v>127</v>
      </c>
    </row>
    <row r="94" spans="1:16" ht="27.75" hidden="1" customHeight="1" x14ac:dyDescent="0.4">
      <c r="A94" s="13">
        <v>92</v>
      </c>
      <c r="B94" s="39" t="s">
        <v>360</v>
      </c>
      <c r="C94" s="39" t="s">
        <v>55</v>
      </c>
      <c r="D94" s="39" t="s">
        <v>313</v>
      </c>
      <c r="E94" s="6"/>
      <c r="F94" s="7"/>
      <c r="G94" s="8" t="s">
        <v>20</v>
      </c>
      <c r="H94" s="15">
        <v>0.95</v>
      </c>
      <c r="I94" s="16">
        <v>45454</v>
      </c>
      <c r="J94" s="16">
        <v>45519</v>
      </c>
      <c r="K94" s="11">
        <f t="shared" ca="1" si="3"/>
        <v>-595</v>
      </c>
      <c r="L94" s="12" t="str">
        <f t="shared" ca="1" si="4"/>
        <v>🔴 متأخرة</v>
      </c>
      <c r="M94" s="39" t="s">
        <v>368</v>
      </c>
      <c r="N94" s="39" t="s">
        <v>369</v>
      </c>
      <c r="O94" s="39" t="s">
        <v>367</v>
      </c>
      <c r="P94" s="39" t="s">
        <v>127</v>
      </c>
    </row>
    <row r="95" spans="1:16" ht="27.75" hidden="1" customHeight="1" x14ac:dyDescent="0.4">
      <c r="A95" s="5">
        <v>93</v>
      </c>
      <c r="B95" s="40" t="s">
        <v>393</v>
      </c>
      <c r="C95" s="40" t="s">
        <v>55</v>
      </c>
      <c r="D95" s="40" t="s">
        <v>313</v>
      </c>
      <c r="E95" s="6"/>
      <c r="F95" s="7"/>
      <c r="G95" s="8" t="s">
        <v>20</v>
      </c>
      <c r="H95" s="9"/>
      <c r="I95" s="10">
        <v>45595</v>
      </c>
      <c r="J95" s="5"/>
      <c r="K95" s="11" t="str">
        <f t="shared" ca="1" si="3"/>
        <v/>
      </c>
      <c r="L95" s="12" t="str">
        <f t="shared" ca="1" si="4"/>
        <v>🔴 متأخرة</v>
      </c>
      <c r="M95" s="40" t="s">
        <v>395</v>
      </c>
      <c r="N95" s="40" t="s">
        <v>396</v>
      </c>
      <c r="O95" s="40"/>
      <c r="P95" s="40" t="s">
        <v>127</v>
      </c>
    </row>
    <row r="96" spans="1:16" ht="27.75" hidden="1" customHeight="1" x14ac:dyDescent="0.4">
      <c r="A96" s="5">
        <v>94</v>
      </c>
      <c r="B96" s="39" t="s">
        <v>424</v>
      </c>
      <c r="C96" s="39" t="s">
        <v>279</v>
      </c>
      <c r="D96" s="39" t="s">
        <v>277</v>
      </c>
      <c r="E96" s="6"/>
      <c r="F96" s="7"/>
      <c r="G96" s="8" t="s">
        <v>20</v>
      </c>
      <c r="H96" s="15">
        <v>1</v>
      </c>
      <c r="I96" s="16">
        <v>45595</v>
      </c>
      <c r="J96" s="16">
        <v>45606</v>
      </c>
      <c r="K96" s="11">
        <f t="shared" ca="1" si="3"/>
        <v>-508</v>
      </c>
      <c r="L96" s="12" t="str">
        <f t="shared" ca="1" si="4"/>
        <v>🔴 متأخرة</v>
      </c>
      <c r="M96" s="39" t="s">
        <v>170</v>
      </c>
      <c r="N96" s="39"/>
      <c r="O96" s="39"/>
      <c r="P96" s="39" t="s">
        <v>127</v>
      </c>
    </row>
    <row r="97" spans="1:16" ht="27.75" hidden="1" customHeight="1" x14ac:dyDescent="0.4">
      <c r="A97" s="13">
        <v>95</v>
      </c>
      <c r="B97" s="39" t="s">
        <v>426</v>
      </c>
      <c r="C97" s="39" t="s">
        <v>31</v>
      </c>
      <c r="D97" s="39" t="s">
        <v>76</v>
      </c>
      <c r="E97" s="6"/>
      <c r="F97" s="7"/>
      <c r="G97" s="14" t="s">
        <v>28</v>
      </c>
      <c r="H97" s="15">
        <v>1</v>
      </c>
      <c r="I97" s="16">
        <v>45533</v>
      </c>
      <c r="J97" s="16">
        <v>45589</v>
      </c>
      <c r="K97" s="11" t="str">
        <f t="shared" ca="1" si="3"/>
        <v>✓</v>
      </c>
      <c r="L97" s="12" t="str">
        <f t="shared" ca="1" si="4"/>
        <v>🟢 مكتملة</v>
      </c>
      <c r="M97" s="39" t="s">
        <v>430</v>
      </c>
      <c r="N97" s="39" t="s">
        <v>431</v>
      </c>
      <c r="O97" s="39" t="s">
        <v>432</v>
      </c>
      <c r="P97" s="39" t="s">
        <v>127</v>
      </c>
    </row>
    <row r="98" spans="1:16" ht="27.75" hidden="1" customHeight="1" x14ac:dyDescent="0.4">
      <c r="A98" s="13">
        <v>96</v>
      </c>
      <c r="B98" s="39" t="s">
        <v>454</v>
      </c>
      <c r="C98" s="39" t="s">
        <v>279</v>
      </c>
      <c r="D98" s="39" t="s">
        <v>277</v>
      </c>
      <c r="E98" s="6"/>
      <c r="F98" s="7"/>
      <c r="G98" s="8" t="s">
        <v>20</v>
      </c>
      <c r="H98" s="15"/>
      <c r="I98" s="16">
        <v>45586</v>
      </c>
      <c r="J98" s="16">
        <v>45593</v>
      </c>
      <c r="K98" s="11">
        <f t="shared" ca="1" si="3"/>
        <v>-521</v>
      </c>
      <c r="L98" s="12" t="str">
        <f t="shared" ca="1" si="4"/>
        <v>🔴 متأخرة</v>
      </c>
      <c r="M98" s="39" t="s">
        <v>455</v>
      </c>
      <c r="N98" s="39"/>
      <c r="O98" s="39"/>
      <c r="P98" s="39" t="s">
        <v>127</v>
      </c>
    </row>
    <row r="99" spans="1:16" ht="27.75" hidden="1" customHeight="1" x14ac:dyDescent="0.4">
      <c r="A99" s="5">
        <v>97</v>
      </c>
      <c r="B99" s="39" t="s">
        <v>456</v>
      </c>
      <c r="C99" s="39" t="s">
        <v>50</v>
      </c>
      <c r="D99" s="39" t="s">
        <v>47</v>
      </c>
      <c r="E99" s="6"/>
      <c r="F99" s="7"/>
      <c r="G99" s="8" t="s">
        <v>20</v>
      </c>
      <c r="H99" s="15">
        <v>1</v>
      </c>
      <c r="I99" s="16">
        <v>45585</v>
      </c>
      <c r="J99" s="16">
        <v>45589</v>
      </c>
      <c r="K99" s="11">
        <f t="shared" ca="1" si="3"/>
        <v>-525</v>
      </c>
      <c r="L99" s="12" t="str">
        <f t="shared" ref="L99:L130" ca="1" si="5">IF(G99="مكتملة","🟢 مكتملة",IF(G99="لم تبدأ","⚪ لم تبدأ",IF(J99&lt;TODAY(),"🔴 متأخرة",IF(AND(I99&lt;&gt;"",J99&lt;&gt;"",H99&lt;&gt;"",((TODAY()-I99)/(J99-I99)-H99)&gt;0.3),"🟡 تحتاج متابعة","🟢 في المسار"))))</f>
        <v>🔴 متأخرة</v>
      </c>
      <c r="M99" s="39" t="s">
        <v>457</v>
      </c>
      <c r="N99" s="39" t="s">
        <v>458</v>
      </c>
      <c r="O99" s="39"/>
      <c r="P99" s="39" t="s">
        <v>127</v>
      </c>
    </row>
    <row r="100" spans="1:16" ht="27.75" hidden="1" customHeight="1" x14ac:dyDescent="0.4">
      <c r="A100" s="5">
        <v>98</v>
      </c>
      <c r="B100" s="39" t="s">
        <v>569</v>
      </c>
      <c r="C100" s="39" t="s">
        <v>279</v>
      </c>
      <c r="D100" s="39" t="s">
        <v>277</v>
      </c>
      <c r="E100" s="6"/>
      <c r="F100" s="7"/>
      <c r="G100" s="8" t="s">
        <v>20</v>
      </c>
      <c r="H100" s="15">
        <v>0.95</v>
      </c>
      <c r="I100" s="16">
        <v>45496</v>
      </c>
      <c r="J100" s="16">
        <v>45554</v>
      </c>
      <c r="K100" s="11">
        <f t="shared" ca="1" si="3"/>
        <v>-560</v>
      </c>
      <c r="L100" s="12" t="str">
        <f t="shared" ca="1" si="5"/>
        <v>🔴 متأخرة</v>
      </c>
      <c r="M100" s="39" t="s">
        <v>575</v>
      </c>
      <c r="N100" s="39" t="s">
        <v>572</v>
      </c>
      <c r="O100" s="39"/>
      <c r="P100" s="39" t="s">
        <v>127</v>
      </c>
    </row>
    <row r="101" spans="1:16" ht="27.75" hidden="1" customHeight="1" x14ac:dyDescent="0.4">
      <c r="A101" s="13">
        <v>99</v>
      </c>
      <c r="B101" s="39" t="s">
        <v>621</v>
      </c>
      <c r="C101" s="39" t="s">
        <v>55</v>
      </c>
      <c r="D101" s="39" t="s">
        <v>313</v>
      </c>
      <c r="E101" s="6"/>
      <c r="F101" s="7"/>
      <c r="G101" s="8" t="s">
        <v>20</v>
      </c>
      <c r="H101" s="15">
        <v>0.9</v>
      </c>
      <c r="I101" s="16">
        <v>45448</v>
      </c>
      <c r="J101" s="16">
        <v>45559</v>
      </c>
      <c r="K101" s="11">
        <f t="shared" ca="1" si="3"/>
        <v>-555</v>
      </c>
      <c r="L101" s="12" t="str">
        <f t="shared" ca="1" si="5"/>
        <v>🔴 متأخرة</v>
      </c>
      <c r="M101" s="39" t="s">
        <v>624</v>
      </c>
      <c r="N101" s="39" t="s">
        <v>625</v>
      </c>
      <c r="O101" s="39"/>
      <c r="P101" s="39" t="s">
        <v>127</v>
      </c>
    </row>
    <row r="102" spans="1:16" ht="27.75" hidden="1" customHeight="1" x14ac:dyDescent="0.4">
      <c r="A102" s="13">
        <v>100</v>
      </c>
      <c r="B102" s="39" t="s">
        <v>670</v>
      </c>
      <c r="C102" s="39" t="s">
        <v>279</v>
      </c>
      <c r="D102" s="39" t="s">
        <v>277</v>
      </c>
      <c r="E102" s="6"/>
      <c r="F102" s="7"/>
      <c r="G102" s="8" t="s">
        <v>20</v>
      </c>
      <c r="H102" s="15">
        <v>0.25</v>
      </c>
      <c r="I102" s="16">
        <v>45536</v>
      </c>
      <c r="J102" s="16">
        <v>45570</v>
      </c>
      <c r="K102" s="11">
        <f t="shared" ca="1" si="3"/>
        <v>-544</v>
      </c>
      <c r="L102" s="12" t="str">
        <f t="shared" ca="1" si="5"/>
        <v>🔴 متأخرة</v>
      </c>
      <c r="M102" s="39" t="s">
        <v>672</v>
      </c>
      <c r="N102" s="39"/>
      <c r="O102" s="39"/>
      <c r="P102" s="39" t="s">
        <v>127</v>
      </c>
    </row>
    <row r="103" spans="1:16" ht="27.75" hidden="1" customHeight="1" x14ac:dyDescent="0.4">
      <c r="A103" s="13">
        <v>101</v>
      </c>
      <c r="B103" s="40" t="s">
        <v>699</v>
      </c>
      <c r="C103" s="40" t="s">
        <v>31</v>
      </c>
      <c r="D103" s="40" t="s">
        <v>32</v>
      </c>
      <c r="E103" s="6"/>
      <c r="F103" s="7"/>
      <c r="G103" s="8" t="s">
        <v>20</v>
      </c>
      <c r="H103" s="9">
        <v>1</v>
      </c>
      <c r="I103" s="10">
        <v>45537</v>
      </c>
      <c r="J103" s="10">
        <v>45611</v>
      </c>
      <c r="K103" s="11">
        <f t="shared" ca="1" si="3"/>
        <v>-503</v>
      </c>
      <c r="L103" s="12" t="str">
        <f t="shared" ca="1" si="5"/>
        <v>🔴 متأخرة</v>
      </c>
      <c r="M103" s="40" t="s">
        <v>703</v>
      </c>
      <c r="N103" s="40"/>
      <c r="O103" s="40" t="s">
        <v>702</v>
      </c>
      <c r="P103" s="40" t="s">
        <v>127</v>
      </c>
    </row>
    <row r="104" spans="1:16" ht="27.75" hidden="1" customHeight="1" x14ac:dyDescent="0.4">
      <c r="A104" s="13">
        <v>102</v>
      </c>
      <c r="B104" s="39" t="s">
        <v>721</v>
      </c>
      <c r="C104" s="39" t="s">
        <v>229</v>
      </c>
      <c r="D104" s="39" t="s">
        <v>186</v>
      </c>
      <c r="E104" s="6"/>
      <c r="F104" s="7"/>
      <c r="G104" s="8" t="s">
        <v>20</v>
      </c>
      <c r="H104" s="15">
        <v>1</v>
      </c>
      <c r="I104" s="16">
        <v>45536</v>
      </c>
      <c r="J104" s="16">
        <v>45547</v>
      </c>
      <c r="K104" s="11">
        <f t="shared" ca="1" si="3"/>
        <v>-567</v>
      </c>
      <c r="L104" s="12" t="str">
        <f t="shared" ca="1" si="5"/>
        <v>🔴 متأخرة</v>
      </c>
      <c r="M104" s="39" t="s">
        <v>724</v>
      </c>
      <c r="N104" s="39" t="s">
        <v>725</v>
      </c>
      <c r="O104" s="39"/>
      <c r="P104" s="39" t="s">
        <v>127</v>
      </c>
    </row>
    <row r="105" spans="1:16" ht="27.75" hidden="1" customHeight="1" x14ac:dyDescent="0.4">
      <c r="A105" s="5">
        <v>103</v>
      </c>
      <c r="B105" s="40" t="s">
        <v>732</v>
      </c>
      <c r="C105" s="40" t="s">
        <v>55</v>
      </c>
      <c r="D105" s="40" t="s">
        <v>267</v>
      </c>
      <c r="E105" s="6"/>
      <c r="F105" s="7"/>
      <c r="G105" s="8" t="s">
        <v>20</v>
      </c>
      <c r="H105" s="9"/>
      <c r="I105" s="10">
        <v>45595</v>
      </c>
      <c r="J105" s="5"/>
      <c r="K105" s="11" t="str">
        <f t="shared" ca="1" si="3"/>
        <v/>
      </c>
      <c r="L105" s="12" t="str">
        <f t="shared" ca="1" si="5"/>
        <v>🔴 متأخرة</v>
      </c>
      <c r="M105" s="40" t="s">
        <v>733</v>
      </c>
      <c r="N105" s="40" t="s">
        <v>734</v>
      </c>
      <c r="O105" s="40"/>
      <c r="P105" s="40" t="s">
        <v>127</v>
      </c>
    </row>
    <row r="106" spans="1:16" ht="27.75" hidden="1" customHeight="1" x14ac:dyDescent="0.4">
      <c r="A106" s="5">
        <v>104</v>
      </c>
      <c r="B106" s="40" t="s">
        <v>770</v>
      </c>
      <c r="C106" s="40" t="s">
        <v>38</v>
      </c>
      <c r="D106" s="40" t="s">
        <v>39</v>
      </c>
      <c r="E106" s="6"/>
      <c r="F106" s="7"/>
      <c r="G106" s="8" t="s">
        <v>20</v>
      </c>
      <c r="H106" s="9">
        <v>0.5</v>
      </c>
      <c r="I106" s="10">
        <v>45518</v>
      </c>
      <c r="J106" s="10">
        <v>45646</v>
      </c>
      <c r="K106" s="11">
        <f t="shared" ca="1" si="3"/>
        <v>-468</v>
      </c>
      <c r="L106" s="12" t="str">
        <f t="shared" ca="1" si="5"/>
        <v>🔴 متأخرة</v>
      </c>
      <c r="M106" s="40" t="s">
        <v>773</v>
      </c>
      <c r="N106" s="40" t="s">
        <v>774</v>
      </c>
      <c r="O106" s="40"/>
      <c r="P106" s="40" t="s">
        <v>127</v>
      </c>
    </row>
    <row r="107" spans="1:16" ht="27.75" hidden="1" customHeight="1" x14ac:dyDescent="0.4">
      <c r="A107" s="13">
        <v>105</v>
      </c>
      <c r="B107" s="39" t="s">
        <v>784</v>
      </c>
      <c r="C107" s="39" t="s">
        <v>42</v>
      </c>
      <c r="D107" s="39" t="s">
        <v>43</v>
      </c>
      <c r="E107" s="6"/>
      <c r="F107" s="7"/>
      <c r="G107" s="8" t="s">
        <v>20</v>
      </c>
      <c r="H107" s="15">
        <v>0.8</v>
      </c>
      <c r="I107" s="16">
        <v>45518</v>
      </c>
      <c r="J107" s="16">
        <v>45565</v>
      </c>
      <c r="K107" s="11">
        <f t="shared" ca="1" si="3"/>
        <v>-549</v>
      </c>
      <c r="L107" s="12" t="str">
        <f t="shared" ca="1" si="5"/>
        <v>🔴 متأخرة</v>
      </c>
      <c r="M107" s="39" t="s">
        <v>786</v>
      </c>
      <c r="N107" s="39" t="s">
        <v>788</v>
      </c>
      <c r="O107" s="39"/>
      <c r="P107" s="39" t="s">
        <v>127</v>
      </c>
    </row>
    <row r="108" spans="1:16" ht="27.75" hidden="1" customHeight="1" x14ac:dyDescent="0.4">
      <c r="A108" s="13">
        <v>106</v>
      </c>
      <c r="B108" s="40" t="s">
        <v>25</v>
      </c>
      <c r="C108" s="40" t="s">
        <v>26</v>
      </c>
      <c r="D108" s="40" t="s">
        <v>27</v>
      </c>
      <c r="E108" s="6"/>
      <c r="F108" s="7"/>
      <c r="G108" s="14" t="s">
        <v>28</v>
      </c>
      <c r="H108" s="9"/>
      <c r="I108" s="10">
        <v>45427</v>
      </c>
      <c r="J108" s="10">
        <v>45428</v>
      </c>
      <c r="K108" s="11" t="str">
        <f t="shared" ca="1" si="3"/>
        <v>✓</v>
      </c>
      <c r="L108" s="12" t="str">
        <f t="shared" ca="1" si="5"/>
        <v>🟢 مكتملة</v>
      </c>
      <c r="M108" s="40"/>
      <c r="N108" s="40"/>
      <c r="O108" s="40"/>
      <c r="P108" s="40" t="s">
        <v>29</v>
      </c>
    </row>
    <row r="109" spans="1:16" ht="27.75" hidden="1" customHeight="1" x14ac:dyDescent="0.4">
      <c r="A109" s="5">
        <v>107</v>
      </c>
      <c r="B109" s="39" t="s">
        <v>67</v>
      </c>
      <c r="C109" s="39" t="s">
        <v>38</v>
      </c>
      <c r="D109" s="39" t="s">
        <v>39</v>
      </c>
      <c r="E109" s="6"/>
      <c r="F109" s="7"/>
      <c r="G109" s="14" t="s">
        <v>28</v>
      </c>
      <c r="H109" s="15"/>
      <c r="I109" s="16">
        <v>45424</v>
      </c>
      <c r="J109" s="16">
        <v>45425</v>
      </c>
      <c r="K109" s="11" t="str">
        <f t="shared" ca="1" si="3"/>
        <v>✓</v>
      </c>
      <c r="L109" s="12" t="str">
        <f t="shared" ca="1" si="5"/>
        <v>🟢 مكتملة</v>
      </c>
      <c r="M109" s="39" t="s">
        <v>68</v>
      </c>
      <c r="N109" s="39"/>
      <c r="O109" s="39"/>
      <c r="P109" s="39" t="s">
        <v>29</v>
      </c>
    </row>
    <row r="110" spans="1:16" ht="27.75" hidden="1" customHeight="1" x14ac:dyDescent="0.4">
      <c r="A110" s="5">
        <v>108</v>
      </c>
      <c r="B110" s="39" t="s">
        <v>70</v>
      </c>
      <c r="C110" s="39" t="s">
        <v>38</v>
      </c>
      <c r="D110" s="39" t="s">
        <v>39</v>
      </c>
      <c r="E110" s="6"/>
      <c r="F110" s="7"/>
      <c r="G110" s="8" t="s">
        <v>20</v>
      </c>
      <c r="H110" s="15"/>
      <c r="I110" s="16">
        <v>45433</v>
      </c>
      <c r="J110" s="16">
        <v>45440</v>
      </c>
      <c r="K110" s="11">
        <f t="shared" ca="1" si="3"/>
        <v>-674</v>
      </c>
      <c r="L110" s="12" t="str">
        <f t="shared" ca="1" si="5"/>
        <v>🔴 متأخرة</v>
      </c>
      <c r="M110" s="39" t="s">
        <v>20</v>
      </c>
      <c r="N110" s="39"/>
      <c r="O110" s="39"/>
      <c r="P110" s="39" t="s">
        <v>29</v>
      </c>
    </row>
    <row r="111" spans="1:16" ht="27.75" hidden="1" customHeight="1" x14ac:dyDescent="0.4">
      <c r="A111" s="13">
        <v>109</v>
      </c>
      <c r="B111" s="40" t="s">
        <v>99</v>
      </c>
      <c r="C111" s="40" t="s">
        <v>31</v>
      </c>
      <c r="D111" s="40" t="s">
        <v>100</v>
      </c>
      <c r="E111" s="6"/>
      <c r="F111" s="7"/>
      <c r="G111" s="14" t="s">
        <v>28</v>
      </c>
      <c r="H111" s="9"/>
      <c r="I111" s="10">
        <v>45420</v>
      </c>
      <c r="J111" s="10">
        <v>45509</v>
      </c>
      <c r="K111" s="11" t="str">
        <f t="shared" ca="1" si="3"/>
        <v>✓</v>
      </c>
      <c r="L111" s="12" t="str">
        <f t="shared" ca="1" si="5"/>
        <v>🟢 مكتملة</v>
      </c>
      <c r="M111" s="40"/>
      <c r="N111" s="40"/>
      <c r="O111" s="40"/>
      <c r="P111" s="40" t="s">
        <v>29</v>
      </c>
    </row>
    <row r="112" spans="1:16" ht="27.75" hidden="1" customHeight="1" x14ac:dyDescent="0.4">
      <c r="A112" s="13">
        <v>110</v>
      </c>
      <c r="B112" s="40" t="s">
        <v>154</v>
      </c>
      <c r="C112" s="40" t="s">
        <v>31</v>
      </c>
      <c r="D112" s="40" t="s">
        <v>76</v>
      </c>
      <c r="E112" s="6"/>
      <c r="F112" s="7"/>
      <c r="G112" s="14" t="s">
        <v>28</v>
      </c>
      <c r="H112" s="9"/>
      <c r="I112" s="10">
        <v>45413</v>
      </c>
      <c r="J112" s="10">
        <v>45422</v>
      </c>
      <c r="K112" s="11" t="str">
        <f t="shared" ca="1" si="3"/>
        <v>✓</v>
      </c>
      <c r="L112" s="12" t="str">
        <f t="shared" ca="1" si="5"/>
        <v>🟢 مكتملة</v>
      </c>
      <c r="M112" s="40" t="s">
        <v>155</v>
      </c>
      <c r="N112" s="40"/>
      <c r="O112" s="40"/>
      <c r="P112" s="40" t="s">
        <v>29</v>
      </c>
    </row>
    <row r="113" spans="1:16" ht="27.75" hidden="1" customHeight="1" x14ac:dyDescent="0.4">
      <c r="A113" s="13">
        <v>111</v>
      </c>
      <c r="B113" s="40" t="s">
        <v>168</v>
      </c>
      <c r="C113" s="40" t="s">
        <v>31</v>
      </c>
      <c r="D113" s="40" t="s">
        <v>76</v>
      </c>
      <c r="E113" s="6"/>
      <c r="F113" s="7"/>
      <c r="G113" s="8" t="s">
        <v>20</v>
      </c>
      <c r="H113" s="9"/>
      <c r="I113" s="10">
        <v>45420</v>
      </c>
      <c r="J113" s="10">
        <v>45456</v>
      </c>
      <c r="K113" s="11">
        <f t="shared" ca="1" si="3"/>
        <v>-658</v>
      </c>
      <c r="L113" s="12" t="str">
        <f t="shared" ca="1" si="5"/>
        <v>🔴 متأخرة</v>
      </c>
      <c r="M113" s="40" t="s">
        <v>169</v>
      </c>
      <c r="N113" s="40"/>
      <c r="O113" s="40"/>
      <c r="P113" s="40" t="s">
        <v>29</v>
      </c>
    </row>
    <row r="114" spans="1:16" ht="27.75" hidden="1" customHeight="1" x14ac:dyDescent="0.4">
      <c r="A114" s="13">
        <v>112</v>
      </c>
      <c r="B114" s="39" t="s">
        <v>180</v>
      </c>
      <c r="C114" s="39" t="s">
        <v>42</v>
      </c>
      <c r="D114" s="39" t="s">
        <v>43</v>
      </c>
      <c r="E114" s="6"/>
      <c r="F114" s="7"/>
      <c r="G114" s="8" t="s">
        <v>20</v>
      </c>
      <c r="H114" s="15"/>
      <c r="I114" s="16">
        <v>45420</v>
      </c>
      <c r="J114" s="16">
        <v>45438</v>
      </c>
      <c r="K114" s="11">
        <f t="shared" ca="1" si="3"/>
        <v>-676</v>
      </c>
      <c r="L114" s="12" t="str">
        <f t="shared" ca="1" si="5"/>
        <v>🔴 متأخرة</v>
      </c>
      <c r="M114" s="39" t="s">
        <v>181</v>
      </c>
      <c r="N114" s="39"/>
      <c r="O114" s="39"/>
      <c r="P114" s="39" t="s">
        <v>29</v>
      </c>
    </row>
    <row r="115" spans="1:16" ht="27.75" hidden="1" customHeight="1" x14ac:dyDescent="0.4">
      <c r="A115" s="5">
        <v>113</v>
      </c>
      <c r="B115" s="39" t="s">
        <v>185</v>
      </c>
      <c r="C115" s="39" t="s">
        <v>26</v>
      </c>
      <c r="D115" s="39" t="s">
        <v>186</v>
      </c>
      <c r="E115" s="6"/>
      <c r="F115" s="7"/>
      <c r="G115" s="8" t="s">
        <v>20</v>
      </c>
      <c r="H115" s="15"/>
      <c r="I115" s="16">
        <v>45414</v>
      </c>
      <c r="J115" s="16">
        <v>45442</v>
      </c>
      <c r="K115" s="11">
        <f t="shared" ca="1" si="3"/>
        <v>-672</v>
      </c>
      <c r="L115" s="12" t="str">
        <f t="shared" ca="1" si="5"/>
        <v>🔴 متأخرة</v>
      </c>
      <c r="M115" s="39" t="s">
        <v>187</v>
      </c>
      <c r="N115" s="39"/>
      <c r="O115" s="39"/>
      <c r="P115" s="39" t="s">
        <v>29</v>
      </c>
    </row>
    <row r="116" spans="1:16" ht="27.75" hidden="1" customHeight="1" x14ac:dyDescent="0.4">
      <c r="A116" s="5">
        <v>114</v>
      </c>
      <c r="B116" s="39" t="s">
        <v>200</v>
      </c>
      <c r="C116" s="39" t="s">
        <v>26</v>
      </c>
      <c r="D116" s="39" t="s">
        <v>186</v>
      </c>
      <c r="E116" s="6"/>
      <c r="F116" s="7"/>
      <c r="G116" s="8" t="s">
        <v>20</v>
      </c>
      <c r="H116" s="15"/>
      <c r="I116" s="16">
        <v>45420</v>
      </c>
      <c r="J116" s="16">
        <v>45428</v>
      </c>
      <c r="K116" s="11">
        <f t="shared" ca="1" si="3"/>
        <v>-686</v>
      </c>
      <c r="L116" s="12" t="str">
        <f t="shared" ca="1" si="5"/>
        <v>🔴 متأخرة</v>
      </c>
      <c r="M116" s="39" t="s">
        <v>201</v>
      </c>
      <c r="N116" s="39"/>
      <c r="O116" s="39"/>
      <c r="P116" s="39" t="s">
        <v>29</v>
      </c>
    </row>
    <row r="117" spans="1:16" ht="27.75" hidden="1" customHeight="1" x14ac:dyDescent="0.4">
      <c r="A117" s="13">
        <v>115</v>
      </c>
      <c r="B117" s="39" t="s">
        <v>204</v>
      </c>
      <c r="C117" s="39" t="s">
        <v>26</v>
      </c>
      <c r="D117" s="39" t="s">
        <v>186</v>
      </c>
      <c r="E117" s="6"/>
      <c r="F117" s="7"/>
      <c r="G117" s="8" t="s">
        <v>20</v>
      </c>
      <c r="H117" s="15"/>
      <c r="I117" s="16">
        <v>45420</v>
      </c>
      <c r="J117" s="16">
        <v>45428</v>
      </c>
      <c r="K117" s="11">
        <f t="shared" ca="1" si="3"/>
        <v>-686</v>
      </c>
      <c r="L117" s="12" t="str">
        <f t="shared" ca="1" si="5"/>
        <v>🔴 متأخرة</v>
      </c>
      <c r="M117" s="39" t="s">
        <v>205</v>
      </c>
      <c r="N117" s="39"/>
      <c r="O117" s="39"/>
      <c r="P117" s="39" t="s">
        <v>29</v>
      </c>
    </row>
    <row r="118" spans="1:16" ht="27.75" hidden="1" customHeight="1" x14ac:dyDescent="0.4">
      <c r="A118" s="13">
        <v>116</v>
      </c>
      <c r="B118" s="39" t="s">
        <v>214</v>
      </c>
      <c r="C118" s="39" t="s">
        <v>210</v>
      </c>
      <c r="D118" s="39" t="s">
        <v>212</v>
      </c>
      <c r="E118" s="6"/>
      <c r="F118" s="7"/>
      <c r="G118" s="14" t="s">
        <v>28</v>
      </c>
      <c r="H118" s="15"/>
      <c r="I118" s="16">
        <v>45420</v>
      </c>
      <c r="J118" s="16">
        <v>45435</v>
      </c>
      <c r="K118" s="11" t="str">
        <f t="shared" ca="1" si="3"/>
        <v>✓</v>
      </c>
      <c r="L118" s="12" t="str">
        <f t="shared" ca="1" si="5"/>
        <v>🟢 مكتملة</v>
      </c>
      <c r="M118" s="39" t="s">
        <v>215</v>
      </c>
      <c r="N118" s="39"/>
      <c r="O118" s="39"/>
      <c r="P118" s="39" t="s">
        <v>29</v>
      </c>
    </row>
    <row r="119" spans="1:16" ht="27.75" hidden="1" customHeight="1" x14ac:dyDescent="0.4">
      <c r="A119" s="5">
        <v>117</v>
      </c>
      <c r="B119" s="39" t="s">
        <v>219</v>
      </c>
      <c r="C119" s="39" t="s">
        <v>97</v>
      </c>
      <c r="D119" s="39" t="s">
        <v>98</v>
      </c>
      <c r="E119" s="6"/>
      <c r="F119" s="7"/>
      <c r="G119" s="8" t="s">
        <v>28</v>
      </c>
      <c r="H119" s="15"/>
      <c r="I119" s="16">
        <v>45428</v>
      </c>
      <c r="J119" s="16">
        <v>45435</v>
      </c>
      <c r="K119" s="11" t="str">
        <f t="shared" ca="1" si="3"/>
        <v>✓</v>
      </c>
      <c r="L119" s="12" t="str">
        <f t="shared" ca="1" si="5"/>
        <v>🟢 مكتملة</v>
      </c>
      <c r="M119" s="39" t="s">
        <v>220</v>
      </c>
      <c r="N119" s="39"/>
      <c r="O119" s="39"/>
      <c r="P119" s="39" t="s">
        <v>29</v>
      </c>
    </row>
    <row r="120" spans="1:16" ht="27.75" hidden="1" customHeight="1" x14ac:dyDescent="0.4">
      <c r="A120" s="5">
        <v>118</v>
      </c>
      <c r="B120" s="40" t="s">
        <v>239</v>
      </c>
      <c r="C120" s="40" t="s">
        <v>63</v>
      </c>
      <c r="D120" s="40" t="s">
        <v>240</v>
      </c>
      <c r="E120" s="6"/>
      <c r="F120" s="7"/>
      <c r="G120" s="8" t="s">
        <v>20</v>
      </c>
      <c r="H120" s="9"/>
      <c r="I120" s="10">
        <v>45377</v>
      </c>
      <c r="J120" s="10">
        <v>45473</v>
      </c>
      <c r="K120" s="11">
        <f t="shared" ca="1" si="3"/>
        <v>-641</v>
      </c>
      <c r="L120" s="12" t="str">
        <f t="shared" ca="1" si="5"/>
        <v>🔴 متأخرة</v>
      </c>
      <c r="M120" s="40" t="s">
        <v>241</v>
      </c>
      <c r="N120" s="40"/>
      <c r="O120" s="40"/>
      <c r="P120" s="40" t="s">
        <v>29</v>
      </c>
    </row>
    <row r="121" spans="1:16" ht="27.75" hidden="1" customHeight="1" x14ac:dyDescent="0.4">
      <c r="A121" s="13">
        <v>119</v>
      </c>
      <c r="B121" s="39" t="s">
        <v>249</v>
      </c>
      <c r="C121" s="39" t="s">
        <v>38</v>
      </c>
      <c r="D121" s="39" t="s">
        <v>39</v>
      </c>
      <c r="E121" s="6"/>
      <c r="F121" s="7"/>
      <c r="G121" s="8" t="s">
        <v>20</v>
      </c>
      <c r="H121" s="15"/>
      <c r="I121" s="16">
        <v>45420</v>
      </c>
      <c r="J121" s="16">
        <v>45505</v>
      </c>
      <c r="K121" s="11">
        <f t="shared" ca="1" si="3"/>
        <v>-609</v>
      </c>
      <c r="L121" s="12" t="str">
        <f t="shared" ca="1" si="5"/>
        <v>🔴 متأخرة</v>
      </c>
      <c r="M121" s="39" t="s">
        <v>170</v>
      </c>
      <c r="N121" s="39"/>
      <c r="O121" s="39"/>
      <c r="P121" s="39" t="s">
        <v>29</v>
      </c>
    </row>
    <row r="122" spans="1:16" ht="27.75" hidden="1" customHeight="1" x14ac:dyDescent="0.4">
      <c r="A122" s="13">
        <v>120</v>
      </c>
      <c r="B122" s="39" t="s">
        <v>264</v>
      </c>
      <c r="C122" s="39" t="s">
        <v>26</v>
      </c>
      <c r="D122" s="39" t="s">
        <v>186</v>
      </c>
      <c r="E122" s="6"/>
      <c r="F122" s="7"/>
      <c r="G122" s="14" t="s">
        <v>28</v>
      </c>
      <c r="H122" s="15"/>
      <c r="I122" s="16">
        <v>45417</v>
      </c>
      <c r="J122" s="16">
        <v>45421</v>
      </c>
      <c r="K122" s="11" t="str">
        <f t="shared" ca="1" si="3"/>
        <v>✓</v>
      </c>
      <c r="L122" s="12" t="str">
        <f t="shared" ca="1" si="5"/>
        <v>🟢 مكتملة</v>
      </c>
      <c r="M122" s="39"/>
      <c r="N122" s="39"/>
      <c r="O122" s="39"/>
      <c r="P122" s="39" t="s">
        <v>29</v>
      </c>
    </row>
    <row r="123" spans="1:16" ht="27.75" hidden="1" customHeight="1" x14ac:dyDescent="0.4">
      <c r="A123" s="13">
        <v>121</v>
      </c>
      <c r="B123" s="40" t="s">
        <v>272</v>
      </c>
      <c r="C123" s="40" t="s">
        <v>273</v>
      </c>
      <c r="D123" s="40" t="s">
        <v>274</v>
      </c>
      <c r="E123" s="6"/>
      <c r="F123" s="7"/>
      <c r="G123" s="14" t="s">
        <v>28</v>
      </c>
      <c r="H123" s="9"/>
      <c r="I123" s="10">
        <v>45427</v>
      </c>
      <c r="J123" s="10">
        <v>45427</v>
      </c>
      <c r="K123" s="11" t="str">
        <f t="shared" ca="1" si="3"/>
        <v>✓</v>
      </c>
      <c r="L123" s="12" t="str">
        <f t="shared" ca="1" si="5"/>
        <v>🟢 مكتملة</v>
      </c>
      <c r="M123" s="40" t="s">
        <v>275</v>
      </c>
      <c r="N123" s="40"/>
      <c r="O123" s="40"/>
      <c r="P123" s="40" t="s">
        <v>29</v>
      </c>
    </row>
    <row r="124" spans="1:16" ht="27.75" hidden="1" customHeight="1" x14ac:dyDescent="0.4">
      <c r="A124" s="13">
        <v>122</v>
      </c>
      <c r="B124" s="39" t="s">
        <v>284</v>
      </c>
      <c r="C124" s="39" t="s">
        <v>31</v>
      </c>
      <c r="D124" s="39" t="s">
        <v>32</v>
      </c>
      <c r="E124" s="6"/>
      <c r="F124" s="7"/>
      <c r="G124" s="8" t="s">
        <v>20</v>
      </c>
      <c r="H124" s="15"/>
      <c r="I124" s="16">
        <v>45426</v>
      </c>
      <c r="J124" s="16">
        <v>45442</v>
      </c>
      <c r="K124" s="11">
        <f t="shared" ca="1" si="3"/>
        <v>-672</v>
      </c>
      <c r="L124" s="12" t="str">
        <f t="shared" ca="1" si="5"/>
        <v>🔴 متأخرة</v>
      </c>
      <c r="M124" s="39" t="s">
        <v>285</v>
      </c>
      <c r="N124" s="39"/>
      <c r="O124" s="39"/>
      <c r="P124" s="39" t="s">
        <v>29</v>
      </c>
    </row>
    <row r="125" spans="1:16" ht="27.75" hidden="1" customHeight="1" x14ac:dyDescent="0.4">
      <c r="A125" s="5">
        <v>123</v>
      </c>
      <c r="B125" s="39" t="s">
        <v>312</v>
      </c>
      <c r="C125" s="39" t="s">
        <v>55</v>
      </c>
      <c r="D125" s="39" t="s">
        <v>313</v>
      </c>
      <c r="E125" s="6"/>
      <c r="F125" s="7"/>
      <c r="G125" s="14" t="s">
        <v>28</v>
      </c>
      <c r="H125" s="15"/>
      <c r="I125" s="16">
        <v>45420</v>
      </c>
      <c r="J125" s="16">
        <v>45428</v>
      </c>
      <c r="K125" s="11" t="str">
        <f t="shared" ca="1" si="3"/>
        <v>✓</v>
      </c>
      <c r="L125" s="12" t="str">
        <f t="shared" ca="1" si="5"/>
        <v>🟢 مكتملة</v>
      </c>
      <c r="M125" s="39" t="s">
        <v>314</v>
      </c>
      <c r="N125" s="39"/>
      <c r="O125" s="39"/>
      <c r="P125" s="39" t="s">
        <v>29</v>
      </c>
    </row>
    <row r="126" spans="1:16" ht="27.75" hidden="1" customHeight="1" x14ac:dyDescent="0.4">
      <c r="A126" s="5">
        <v>124</v>
      </c>
      <c r="B126" s="39" t="s">
        <v>318</v>
      </c>
      <c r="C126" s="39" t="s">
        <v>31</v>
      </c>
      <c r="D126" s="39" t="s">
        <v>100</v>
      </c>
      <c r="E126" s="6"/>
      <c r="F126" s="7"/>
      <c r="G126" s="14" t="s">
        <v>28</v>
      </c>
      <c r="H126" s="15"/>
      <c r="I126" s="16">
        <v>45420</v>
      </c>
      <c r="J126" s="16">
        <v>45428</v>
      </c>
      <c r="K126" s="11" t="str">
        <f t="shared" ca="1" si="3"/>
        <v>✓</v>
      </c>
      <c r="L126" s="12" t="str">
        <f t="shared" ca="1" si="5"/>
        <v>🟢 مكتملة</v>
      </c>
      <c r="M126" s="39" t="s">
        <v>319</v>
      </c>
      <c r="N126" s="39"/>
      <c r="O126" s="39"/>
      <c r="P126" s="39" t="s">
        <v>29</v>
      </c>
    </row>
    <row r="127" spans="1:16" ht="27.75" hidden="1" customHeight="1" x14ac:dyDescent="0.4">
      <c r="A127" s="13">
        <v>125</v>
      </c>
      <c r="B127" s="39" t="s">
        <v>335</v>
      </c>
      <c r="C127" s="39" t="s">
        <v>55</v>
      </c>
      <c r="D127" s="39" t="s">
        <v>313</v>
      </c>
      <c r="E127" s="6"/>
      <c r="F127" s="7"/>
      <c r="G127" s="14" t="s">
        <v>28</v>
      </c>
      <c r="H127" s="15"/>
      <c r="I127" s="16">
        <v>45428</v>
      </c>
      <c r="J127" s="16">
        <v>45440</v>
      </c>
      <c r="K127" s="11" t="str">
        <f t="shared" ca="1" si="3"/>
        <v>✓</v>
      </c>
      <c r="L127" s="12" t="str">
        <f t="shared" ca="1" si="5"/>
        <v>🟢 مكتملة</v>
      </c>
      <c r="M127" s="39" t="s">
        <v>336</v>
      </c>
      <c r="N127" s="39"/>
      <c r="O127" s="39"/>
      <c r="P127" s="39" t="s">
        <v>29</v>
      </c>
    </row>
    <row r="128" spans="1:16" ht="27.75" hidden="1" customHeight="1" x14ac:dyDescent="0.4">
      <c r="A128" s="13">
        <v>126</v>
      </c>
      <c r="B128" s="39" t="s">
        <v>339</v>
      </c>
      <c r="C128" s="39" t="s">
        <v>42</v>
      </c>
      <c r="D128" s="39" t="s">
        <v>43</v>
      </c>
      <c r="E128" s="6"/>
      <c r="F128" s="7"/>
      <c r="G128" s="8" t="s">
        <v>20</v>
      </c>
      <c r="H128" s="15"/>
      <c r="I128" s="16">
        <v>45420</v>
      </c>
      <c r="J128" s="16">
        <v>45535</v>
      </c>
      <c r="K128" s="11">
        <f t="shared" ca="1" si="3"/>
        <v>-579</v>
      </c>
      <c r="L128" s="12" t="str">
        <f t="shared" ca="1" si="5"/>
        <v>🔴 متأخرة</v>
      </c>
      <c r="M128" s="39" t="s">
        <v>340</v>
      </c>
      <c r="N128" s="39"/>
      <c r="O128" s="39"/>
      <c r="P128" s="39" t="s">
        <v>29</v>
      </c>
    </row>
    <row r="129" spans="1:16" ht="27.75" hidden="1" customHeight="1" x14ac:dyDescent="0.4">
      <c r="A129" s="5">
        <v>127</v>
      </c>
      <c r="B129" s="40" t="s">
        <v>348</v>
      </c>
      <c r="C129" s="40" t="s">
        <v>31</v>
      </c>
      <c r="D129" s="40" t="s">
        <v>100</v>
      </c>
      <c r="E129" s="6"/>
      <c r="F129" s="7"/>
      <c r="G129" s="14" t="s">
        <v>28</v>
      </c>
      <c r="H129" s="9"/>
      <c r="I129" s="10">
        <v>45424</v>
      </c>
      <c r="J129" s="10">
        <v>45442</v>
      </c>
      <c r="K129" s="11" t="str">
        <f t="shared" ca="1" si="3"/>
        <v>✓</v>
      </c>
      <c r="L129" s="12" t="str">
        <f t="shared" ca="1" si="5"/>
        <v>🟢 مكتملة</v>
      </c>
      <c r="M129" s="40" t="s">
        <v>349</v>
      </c>
      <c r="N129" s="40"/>
      <c r="O129" s="40"/>
      <c r="P129" s="40" t="s">
        <v>29</v>
      </c>
    </row>
    <row r="130" spans="1:16" ht="27.75" hidden="1" customHeight="1" x14ac:dyDescent="0.4">
      <c r="A130" s="5">
        <v>128</v>
      </c>
      <c r="B130" s="40" t="s">
        <v>400</v>
      </c>
      <c r="C130" s="40" t="s">
        <v>229</v>
      </c>
      <c r="D130" s="40" t="s">
        <v>263</v>
      </c>
      <c r="E130" s="6"/>
      <c r="F130" s="7"/>
      <c r="G130" s="14" t="s">
        <v>28</v>
      </c>
      <c r="H130" s="9"/>
      <c r="I130" s="10">
        <v>45420</v>
      </c>
      <c r="J130" s="10">
        <v>45421</v>
      </c>
      <c r="K130" s="11" t="str">
        <f t="shared" ca="1" si="3"/>
        <v>✓</v>
      </c>
      <c r="L130" s="12" t="str">
        <f t="shared" ca="1" si="5"/>
        <v>🟢 مكتملة</v>
      </c>
      <c r="M130" s="40" t="s">
        <v>401</v>
      </c>
      <c r="N130" s="40"/>
      <c r="O130" s="40"/>
      <c r="P130" s="40" t="s">
        <v>29</v>
      </c>
    </row>
    <row r="131" spans="1:16" ht="27.75" hidden="1" customHeight="1" x14ac:dyDescent="0.4">
      <c r="A131" s="13">
        <v>129</v>
      </c>
      <c r="B131" s="39" t="s">
        <v>402</v>
      </c>
      <c r="C131" s="39" t="s">
        <v>31</v>
      </c>
      <c r="D131" s="39" t="s">
        <v>100</v>
      </c>
      <c r="E131" s="6"/>
      <c r="F131" s="7"/>
      <c r="G131" s="14" t="s">
        <v>28</v>
      </c>
      <c r="H131" s="15"/>
      <c r="I131" s="16">
        <v>45420</v>
      </c>
      <c r="J131" s="16">
        <v>45428</v>
      </c>
      <c r="K131" s="11" t="str">
        <f t="shared" ref="K131:K194" ca="1" si="6">IFERROR(IF(J131="","",IF(G131="مكتملة","✓",J131-TODAY())),"تاريخ غير صحيح")</f>
        <v>✓</v>
      </c>
      <c r="L131" s="12" t="str">
        <f t="shared" ref="L131:L162" ca="1" si="7">IF(G131="مكتملة","🟢 مكتملة",IF(G131="لم تبدأ","⚪ لم تبدأ",IF(J131&lt;TODAY(),"🔴 متأخرة",IF(AND(I131&lt;&gt;"",J131&lt;&gt;"",H131&lt;&gt;"",((TODAY()-I131)/(J131-I131)-H131)&gt;0.3),"🟡 تحتاج متابعة","🟢 في المسار"))))</f>
        <v>🟢 مكتملة</v>
      </c>
      <c r="M131" s="39" t="s">
        <v>403</v>
      </c>
      <c r="N131" s="39"/>
      <c r="O131" s="39"/>
      <c r="P131" s="39" t="s">
        <v>29</v>
      </c>
    </row>
    <row r="132" spans="1:16" ht="27.75" hidden="1" customHeight="1" x14ac:dyDescent="0.4">
      <c r="A132" s="13">
        <v>130</v>
      </c>
      <c r="B132" s="39" t="s">
        <v>406</v>
      </c>
      <c r="C132" s="39" t="s">
        <v>42</v>
      </c>
      <c r="D132" s="39" t="s">
        <v>43</v>
      </c>
      <c r="E132" s="6"/>
      <c r="F132" s="7"/>
      <c r="G132" s="14" t="s">
        <v>28</v>
      </c>
      <c r="H132" s="15"/>
      <c r="I132" s="16">
        <v>45420</v>
      </c>
      <c r="J132" s="16">
        <v>45421</v>
      </c>
      <c r="K132" s="11" t="str">
        <f t="shared" ca="1" si="6"/>
        <v>✓</v>
      </c>
      <c r="L132" s="12" t="str">
        <f t="shared" ca="1" si="7"/>
        <v>🟢 مكتملة</v>
      </c>
      <c r="M132" s="39" t="s">
        <v>407</v>
      </c>
      <c r="N132" s="39"/>
      <c r="O132" s="39"/>
      <c r="P132" s="39" t="s">
        <v>29</v>
      </c>
    </row>
    <row r="133" spans="1:16" ht="27.75" hidden="1" customHeight="1" x14ac:dyDescent="0.4">
      <c r="A133" s="13">
        <v>131</v>
      </c>
      <c r="B133" s="40" t="s">
        <v>408</v>
      </c>
      <c r="C133" s="40" t="s">
        <v>42</v>
      </c>
      <c r="D133" s="40" t="s">
        <v>43</v>
      </c>
      <c r="E133" s="6"/>
      <c r="F133" s="7"/>
      <c r="G133" s="14" t="s">
        <v>28</v>
      </c>
      <c r="H133" s="9"/>
      <c r="I133" s="10">
        <v>45420</v>
      </c>
      <c r="J133" s="10">
        <v>45421</v>
      </c>
      <c r="K133" s="11" t="str">
        <f t="shared" ca="1" si="6"/>
        <v>✓</v>
      </c>
      <c r="L133" s="12" t="str">
        <f t="shared" ca="1" si="7"/>
        <v>🟢 مكتملة</v>
      </c>
      <c r="M133" s="40" t="s">
        <v>409</v>
      </c>
      <c r="N133" s="40"/>
      <c r="O133" s="40"/>
      <c r="P133" s="40" t="s">
        <v>29</v>
      </c>
    </row>
    <row r="134" spans="1:16" ht="27.75" hidden="1" customHeight="1" x14ac:dyDescent="0.4">
      <c r="A134" s="13">
        <v>132</v>
      </c>
      <c r="B134" s="40" t="s">
        <v>412</v>
      </c>
      <c r="C134" s="40" t="s">
        <v>210</v>
      </c>
      <c r="D134" s="40" t="s">
        <v>212</v>
      </c>
      <c r="E134" s="6"/>
      <c r="F134" s="7"/>
      <c r="G134" s="8" t="s">
        <v>20</v>
      </c>
      <c r="H134" s="9"/>
      <c r="I134" s="10">
        <v>45420</v>
      </c>
      <c r="J134" s="10">
        <v>45435</v>
      </c>
      <c r="K134" s="11">
        <f t="shared" ca="1" si="6"/>
        <v>-679</v>
      </c>
      <c r="L134" s="12" t="str">
        <f t="shared" ca="1" si="7"/>
        <v>🔴 متأخرة</v>
      </c>
      <c r="M134" s="40" t="s">
        <v>413</v>
      </c>
      <c r="N134" s="40"/>
      <c r="O134" s="40"/>
      <c r="P134" s="40" t="s">
        <v>29</v>
      </c>
    </row>
    <row r="135" spans="1:16" ht="27.75" hidden="1" customHeight="1" x14ac:dyDescent="0.4">
      <c r="A135" s="5">
        <v>133</v>
      </c>
      <c r="B135" s="39" t="s">
        <v>414</v>
      </c>
      <c r="C135" s="39" t="s">
        <v>210</v>
      </c>
      <c r="D135" s="39" t="s">
        <v>212</v>
      </c>
      <c r="E135" s="6"/>
      <c r="F135" s="7"/>
      <c r="G135" s="8" t="s">
        <v>20</v>
      </c>
      <c r="H135" s="15"/>
      <c r="I135" s="16">
        <v>45420</v>
      </c>
      <c r="J135" s="16">
        <v>45435</v>
      </c>
      <c r="K135" s="11">
        <f t="shared" ca="1" si="6"/>
        <v>-679</v>
      </c>
      <c r="L135" s="12" t="str">
        <f t="shared" ca="1" si="7"/>
        <v>🔴 متأخرة</v>
      </c>
      <c r="M135" s="39" t="s">
        <v>413</v>
      </c>
      <c r="N135" s="39"/>
      <c r="O135" s="39"/>
      <c r="P135" s="39" t="s">
        <v>29</v>
      </c>
    </row>
    <row r="136" spans="1:16" ht="27.75" hidden="1" customHeight="1" x14ac:dyDescent="0.4">
      <c r="A136" s="5">
        <v>134</v>
      </c>
      <c r="B136" s="40" t="s">
        <v>485</v>
      </c>
      <c r="C136" s="40" t="s">
        <v>42</v>
      </c>
      <c r="D136" s="40" t="s">
        <v>43</v>
      </c>
      <c r="E136" s="6"/>
      <c r="F136" s="7"/>
      <c r="G136" s="14" t="s">
        <v>28</v>
      </c>
      <c r="H136" s="9"/>
      <c r="I136" s="10">
        <v>45417</v>
      </c>
      <c r="J136" s="10">
        <v>45428</v>
      </c>
      <c r="K136" s="11" t="str">
        <f t="shared" ca="1" si="6"/>
        <v>✓</v>
      </c>
      <c r="L136" s="12" t="str">
        <f t="shared" ca="1" si="7"/>
        <v>🟢 مكتملة</v>
      </c>
      <c r="M136" s="40" t="s">
        <v>486</v>
      </c>
      <c r="N136" s="40"/>
      <c r="O136" s="40"/>
      <c r="P136" s="40" t="s">
        <v>29</v>
      </c>
    </row>
    <row r="137" spans="1:16" ht="27.75" hidden="1" customHeight="1" x14ac:dyDescent="0.4">
      <c r="A137" s="13">
        <v>135</v>
      </c>
      <c r="B137" s="39" t="s">
        <v>487</v>
      </c>
      <c r="C137" s="39" t="s">
        <v>42</v>
      </c>
      <c r="D137" s="39" t="s">
        <v>43</v>
      </c>
      <c r="E137" s="6"/>
      <c r="F137" s="7"/>
      <c r="G137" s="8" t="s">
        <v>20</v>
      </c>
      <c r="H137" s="15"/>
      <c r="I137" s="16">
        <v>45417</v>
      </c>
      <c r="J137" s="16">
        <v>45428</v>
      </c>
      <c r="K137" s="11">
        <f t="shared" ca="1" si="6"/>
        <v>-686</v>
      </c>
      <c r="L137" s="12" t="str">
        <f t="shared" ca="1" si="7"/>
        <v>🔴 متأخرة</v>
      </c>
      <c r="M137" s="39" t="s">
        <v>488</v>
      </c>
      <c r="N137" s="39"/>
      <c r="O137" s="39"/>
      <c r="P137" s="39" t="s">
        <v>29</v>
      </c>
    </row>
    <row r="138" spans="1:16" ht="27.75" hidden="1" customHeight="1" x14ac:dyDescent="0.4">
      <c r="A138" s="13">
        <v>136</v>
      </c>
      <c r="B138" s="40" t="s">
        <v>498</v>
      </c>
      <c r="C138" s="40" t="s">
        <v>50</v>
      </c>
      <c r="D138" s="40" t="s">
        <v>47</v>
      </c>
      <c r="E138" s="6"/>
      <c r="F138" s="7"/>
      <c r="G138" s="8" t="s">
        <v>20</v>
      </c>
      <c r="H138" s="9"/>
      <c r="I138" s="10">
        <v>45417</v>
      </c>
      <c r="J138" s="10">
        <v>45428</v>
      </c>
      <c r="K138" s="11">
        <f t="shared" ca="1" si="6"/>
        <v>-686</v>
      </c>
      <c r="L138" s="12" t="str">
        <f t="shared" ca="1" si="7"/>
        <v>🔴 متأخرة</v>
      </c>
      <c r="M138" s="40" t="s">
        <v>499</v>
      </c>
      <c r="N138" s="40"/>
      <c r="O138" s="40"/>
      <c r="P138" s="40" t="s">
        <v>29</v>
      </c>
    </row>
    <row r="139" spans="1:16" ht="27.75" hidden="1" customHeight="1" x14ac:dyDescent="0.4">
      <c r="A139" s="5">
        <v>137</v>
      </c>
      <c r="B139" s="40" t="s">
        <v>505</v>
      </c>
      <c r="C139" s="40" t="s">
        <v>31</v>
      </c>
      <c r="D139" s="40" t="s">
        <v>100</v>
      </c>
      <c r="E139" s="6"/>
      <c r="F139" s="7"/>
      <c r="G139" s="41" t="s">
        <v>28</v>
      </c>
      <c r="H139" s="9"/>
      <c r="I139" s="10">
        <v>45425</v>
      </c>
      <c r="J139" s="10">
        <v>45536</v>
      </c>
      <c r="K139" s="11" t="str">
        <f t="shared" ca="1" si="6"/>
        <v>✓</v>
      </c>
      <c r="L139" s="12" t="str">
        <f t="shared" ca="1" si="7"/>
        <v>🟢 مكتملة</v>
      </c>
      <c r="M139" s="40" t="s">
        <v>506</v>
      </c>
      <c r="N139" s="40"/>
      <c r="O139" s="40"/>
      <c r="P139" s="40" t="s">
        <v>29</v>
      </c>
    </row>
    <row r="140" spans="1:16" ht="27.75" hidden="1" customHeight="1" x14ac:dyDescent="0.4">
      <c r="A140" s="5">
        <v>138</v>
      </c>
      <c r="B140" s="39" t="s">
        <v>507</v>
      </c>
      <c r="C140" s="39" t="s">
        <v>31</v>
      </c>
      <c r="D140" s="39" t="s">
        <v>100</v>
      </c>
      <c r="E140" s="6"/>
      <c r="F140" s="7"/>
      <c r="G140" s="14" t="s">
        <v>28</v>
      </c>
      <c r="H140" s="15"/>
      <c r="I140" s="16">
        <v>45425</v>
      </c>
      <c r="J140" s="16">
        <v>45432</v>
      </c>
      <c r="K140" s="11" t="str">
        <f t="shared" ca="1" si="6"/>
        <v>✓</v>
      </c>
      <c r="L140" s="12" t="str">
        <f t="shared" ca="1" si="7"/>
        <v>🟢 مكتملة</v>
      </c>
      <c r="M140" s="39" t="s">
        <v>508</v>
      </c>
      <c r="N140" s="39"/>
      <c r="O140" s="39"/>
      <c r="P140" s="39" t="s">
        <v>29</v>
      </c>
    </row>
    <row r="141" spans="1:16" ht="27.75" hidden="1" customHeight="1" x14ac:dyDescent="0.4">
      <c r="A141" s="13">
        <v>139</v>
      </c>
      <c r="B141" s="39" t="s">
        <v>520</v>
      </c>
      <c r="C141" s="39" t="s">
        <v>273</v>
      </c>
      <c r="D141" s="39" t="s">
        <v>274</v>
      </c>
      <c r="E141" s="6"/>
      <c r="F141" s="7"/>
      <c r="G141" s="14" t="s">
        <v>28</v>
      </c>
      <c r="H141" s="15"/>
      <c r="I141" s="16">
        <v>45427</v>
      </c>
      <c r="J141" s="16">
        <v>45427</v>
      </c>
      <c r="K141" s="11" t="str">
        <f t="shared" ca="1" si="6"/>
        <v>✓</v>
      </c>
      <c r="L141" s="12" t="str">
        <f t="shared" ca="1" si="7"/>
        <v>🟢 مكتملة</v>
      </c>
      <c r="M141" s="39" t="s">
        <v>521</v>
      </c>
      <c r="N141" s="39"/>
      <c r="O141" s="39"/>
      <c r="P141" s="39" t="s">
        <v>29</v>
      </c>
    </row>
    <row r="142" spans="1:16" ht="27.75" hidden="1" customHeight="1" x14ac:dyDescent="0.4">
      <c r="A142" s="13">
        <v>140</v>
      </c>
      <c r="B142" s="39" t="s">
        <v>524</v>
      </c>
      <c r="C142" s="39" t="s">
        <v>97</v>
      </c>
      <c r="D142" s="39" t="s">
        <v>98</v>
      </c>
      <c r="E142" s="6"/>
      <c r="F142" s="7"/>
      <c r="G142" s="14" t="s">
        <v>28</v>
      </c>
      <c r="H142" s="15"/>
      <c r="I142" s="16">
        <v>45427</v>
      </c>
      <c r="J142" s="16">
        <v>45427</v>
      </c>
      <c r="K142" s="11" t="str">
        <f t="shared" ca="1" si="6"/>
        <v>✓</v>
      </c>
      <c r="L142" s="12" t="str">
        <f t="shared" ca="1" si="7"/>
        <v>🟢 مكتملة</v>
      </c>
      <c r="M142" s="39" t="s">
        <v>525</v>
      </c>
      <c r="N142" s="39"/>
      <c r="O142" s="39"/>
      <c r="P142" s="39" t="s">
        <v>29</v>
      </c>
    </row>
    <row r="143" spans="1:16" ht="27.75" hidden="1" customHeight="1" x14ac:dyDescent="0.4">
      <c r="A143" s="13">
        <v>141</v>
      </c>
      <c r="B143" s="39" t="s">
        <v>549</v>
      </c>
      <c r="C143" s="39" t="s">
        <v>55</v>
      </c>
      <c r="D143" s="39" t="s">
        <v>313</v>
      </c>
      <c r="E143" s="6"/>
      <c r="F143" s="7"/>
      <c r="G143" s="14" t="s">
        <v>28</v>
      </c>
      <c r="H143" s="15"/>
      <c r="I143" s="16">
        <v>45427</v>
      </c>
      <c r="J143" s="16">
        <v>45431</v>
      </c>
      <c r="K143" s="11" t="str">
        <f t="shared" ca="1" si="6"/>
        <v>✓</v>
      </c>
      <c r="L143" s="12" t="str">
        <f t="shared" ca="1" si="7"/>
        <v>🟢 مكتملة</v>
      </c>
      <c r="M143" s="39" t="s">
        <v>550</v>
      </c>
      <c r="N143" s="39"/>
      <c r="O143" s="39"/>
      <c r="P143" s="39" t="s">
        <v>29</v>
      </c>
    </row>
    <row r="144" spans="1:16" ht="27.75" hidden="1" customHeight="1" x14ac:dyDescent="0.4">
      <c r="A144" s="13">
        <v>142</v>
      </c>
      <c r="B144" s="39" t="s">
        <v>584</v>
      </c>
      <c r="C144" s="39" t="s">
        <v>55</v>
      </c>
      <c r="D144" s="39" t="s">
        <v>313</v>
      </c>
      <c r="E144" s="6"/>
      <c r="F144" s="7"/>
      <c r="G144" s="8" t="s">
        <v>20</v>
      </c>
      <c r="H144" s="15"/>
      <c r="I144" s="16">
        <v>45427</v>
      </c>
      <c r="J144" s="16">
        <v>45441</v>
      </c>
      <c r="K144" s="11">
        <f t="shared" ca="1" si="6"/>
        <v>-673</v>
      </c>
      <c r="L144" s="12" t="str">
        <f t="shared" ca="1" si="7"/>
        <v>🔴 متأخرة</v>
      </c>
      <c r="M144" s="39" t="s">
        <v>585</v>
      </c>
      <c r="N144" s="39"/>
      <c r="O144" s="39"/>
      <c r="P144" s="39" t="s">
        <v>29</v>
      </c>
    </row>
    <row r="145" spans="1:16" ht="27.75" hidden="1" customHeight="1" x14ac:dyDescent="0.4">
      <c r="A145" s="5">
        <v>143</v>
      </c>
      <c r="B145" s="40" t="s">
        <v>606</v>
      </c>
      <c r="C145" s="40" t="s">
        <v>26</v>
      </c>
      <c r="D145" s="40" t="s">
        <v>27</v>
      </c>
      <c r="E145" s="6"/>
      <c r="F145" s="7"/>
      <c r="G145" s="14" t="s">
        <v>28</v>
      </c>
      <c r="H145" s="9"/>
      <c r="I145" s="10">
        <v>45417</v>
      </c>
      <c r="J145" s="10">
        <v>45421</v>
      </c>
      <c r="K145" s="11" t="str">
        <f t="shared" ca="1" si="6"/>
        <v>✓</v>
      </c>
      <c r="L145" s="12" t="str">
        <f t="shared" ca="1" si="7"/>
        <v>🟢 مكتملة</v>
      </c>
      <c r="M145" s="40" t="s">
        <v>607</v>
      </c>
      <c r="N145" s="40"/>
      <c r="O145" s="40"/>
      <c r="P145" s="40" t="s">
        <v>29</v>
      </c>
    </row>
    <row r="146" spans="1:16" ht="27.75" hidden="1" customHeight="1" x14ac:dyDescent="0.4">
      <c r="A146" s="5">
        <v>144</v>
      </c>
      <c r="B146" s="39" t="s">
        <v>621</v>
      </c>
      <c r="C146" s="39" t="s">
        <v>55</v>
      </c>
      <c r="D146" s="39" t="s">
        <v>313</v>
      </c>
      <c r="E146" s="6"/>
      <c r="F146" s="7"/>
      <c r="G146" s="8" t="s">
        <v>20</v>
      </c>
      <c r="H146" s="15"/>
      <c r="I146" s="16">
        <v>45428</v>
      </c>
      <c r="J146" s="16">
        <v>45433</v>
      </c>
      <c r="K146" s="11">
        <f t="shared" ca="1" si="6"/>
        <v>-681</v>
      </c>
      <c r="L146" s="12" t="str">
        <f t="shared" ca="1" si="7"/>
        <v>🔴 متأخرة</v>
      </c>
      <c r="M146" s="39" t="s">
        <v>622</v>
      </c>
      <c r="N146" s="39"/>
      <c r="O146" s="39"/>
      <c r="P146" s="39" t="s">
        <v>29</v>
      </c>
    </row>
    <row r="147" spans="1:16" ht="27.75" hidden="1" customHeight="1" x14ac:dyDescent="0.4">
      <c r="A147" s="13">
        <v>145</v>
      </c>
      <c r="B147" s="40" t="s">
        <v>648</v>
      </c>
      <c r="C147" s="40" t="s">
        <v>50</v>
      </c>
      <c r="D147" s="40" t="s">
        <v>47</v>
      </c>
      <c r="E147" s="6"/>
      <c r="F147" s="7"/>
      <c r="G147" s="8" t="s">
        <v>20</v>
      </c>
      <c r="H147" s="9"/>
      <c r="I147" s="10">
        <v>45426</v>
      </c>
      <c r="J147" s="10">
        <v>45442</v>
      </c>
      <c r="K147" s="11">
        <f t="shared" ca="1" si="6"/>
        <v>-672</v>
      </c>
      <c r="L147" s="12" t="str">
        <f t="shared" ca="1" si="7"/>
        <v>🔴 متأخرة</v>
      </c>
      <c r="M147" s="40" t="s">
        <v>649</v>
      </c>
      <c r="N147" s="40"/>
      <c r="O147" s="40"/>
      <c r="P147" s="40" t="s">
        <v>29</v>
      </c>
    </row>
    <row r="148" spans="1:16" ht="27.75" hidden="1" customHeight="1" x14ac:dyDescent="0.4">
      <c r="A148" s="13">
        <v>146</v>
      </c>
      <c r="B148" s="40" t="s">
        <v>663</v>
      </c>
      <c r="C148" s="40" t="s">
        <v>31</v>
      </c>
      <c r="D148" s="40" t="s">
        <v>76</v>
      </c>
      <c r="E148" s="6"/>
      <c r="F148" s="7"/>
      <c r="G148" s="41" t="s">
        <v>28</v>
      </c>
      <c r="H148" s="9"/>
      <c r="I148" s="10">
        <v>45428</v>
      </c>
      <c r="J148" s="10">
        <v>45470</v>
      </c>
      <c r="K148" s="11" t="str">
        <f t="shared" ca="1" si="6"/>
        <v>✓</v>
      </c>
      <c r="L148" s="12" t="str">
        <f t="shared" ca="1" si="7"/>
        <v>🟢 مكتملة</v>
      </c>
      <c r="M148" s="40" t="s">
        <v>664</v>
      </c>
      <c r="N148" s="40"/>
      <c r="O148" s="40"/>
      <c r="P148" s="40" t="s">
        <v>29</v>
      </c>
    </row>
    <row r="149" spans="1:16" ht="27.75" hidden="1" customHeight="1" x14ac:dyDescent="0.4">
      <c r="A149" s="5">
        <v>147</v>
      </c>
      <c r="B149" s="40" t="s">
        <v>681</v>
      </c>
      <c r="C149" s="40" t="s">
        <v>279</v>
      </c>
      <c r="D149" s="40" t="s">
        <v>277</v>
      </c>
      <c r="E149" s="6"/>
      <c r="F149" s="7"/>
      <c r="G149" s="14" t="s">
        <v>28</v>
      </c>
      <c r="H149" s="9"/>
      <c r="I149" s="10">
        <v>45421</v>
      </c>
      <c r="J149" s="10">
        <v>45442</v>
      </c>
      <c r="K149" s="11" t="str">
        <f t="shared" ca="1" si="6"/>
        <v>✓</v>
      </c>
      <c r="L149" s="12" t="str">
        <f t="shared" ca="1" si="7"/>
        <v>🟢 مكتملة</v>
      </c>
      <c r="M149" s="40" t="s">
        <v>682</v>
      </c>
      <c r="N149" s="40"/>
      <c r="O149" s="40"/>
      <c r="P149" s="40" t="s">
        <v>29</v>
      </c>
    </row>
    <row r="150" spans="1:16" ht="27.75" hidden="1" customHeight="1" x14ac:dyDescent="0.4">
      <c r="A150" s="5">
        <v>148</v>
      </c>
      <c r="B150" s="39" t="s">
        <v>683</v>
      </c>
      <c r="C150" s="39" t="s">
        <v>279</v>
      </c>
      <c r="D150" s="39" t="s">
        <v>684</v>
      </c>
      <c r="E150" s="6"/>
      <c r="F150" s="7"/>
      <c r="G150" s="14" t="s">
        <v>28</v>
      </c>
      <c r="H150" s="15"/>
      <c r="I150" s="16">
        <v>45421</v>
      </c>
      <c r="J150" s="16">
        <v>45442</v>
      </c>
      <c r="K150" s="11" t="str">
        <f t="shared" ca="1" si="6"/>
        <v>✓</v>
      </c>
      <c r="L150" s="12" t="str">
        <f t="shared" ca="1" si="7"/>
        <v>🟢 مكتملة</v>
      </c>
      <c r="M150" s="39" t="s">
        <v>685</v>
      </c>
      <c r="N150" s="39"/>
      <c r="O150" s="39"/>
      <c r="P150" s="39" t="s">
        <v>29</v>
      </c>
    </row>
    <row r="151" spans="1:16" ht="27.75" hidden="1" customHeight="1" x14ac:dyDescent="0.4">
      <c r="A151" s="13">
        <v>149</v>
      </c>
      <c r="B151" s="39" t="s">
        <v>704</v>
      </c>
      <c r="C151" s="39" t="s">
        <v>229</v>
      </c>
      <c r="D151" s="39" t="s">
        <v>263</v>
      </c>
      <c r="E151" s="6"/>
      <c r="F151" s="7"/>
      <c r="G151" s="14" t="s">
        <v>28</v>
      </c>
      <c r="H151" s="15"/>
      <c r="I151" s="16">
        <v>45417</v>
      </c>
      <c r="J151" s="16">
        <v>45442</v>
      </c>
      <c r="K151" s="11" t="str">
        <f t="shared" ca="1" si="6"/>
        <v>✓</v>
      </c>
      <c r="L151" s="12" t="str">
        <f t="shared" ca="1" si="7"/>
        <v>🟢 مكتملة</v>
      </c>
      <c r="M151" s="39" t="s">
        <v>705</v>
      </c>
      <c r="N151" s="39"/>
      <c r="O151" s="39"/>
      <c r="P151" s="39" t="s">
        <v>29</v>
      </c>
    </row>
    <row r="152" spans="1:16" ht="27.75" hidden="1" customHeight="1" x14ac:dyDescent="0.4">
      <c r="A152" s="13">
        <v>150</v>
      </c>
      <c r="B152" s="40" t="s">
        <v>743</v>
      </c>
      <c r="C152" s="40" t="s">
        <v>55</v>
      </c>
      <c r="D152" s="40" t="s">
        <v>313</v>
      </c>
      <c r="E152" s="6"/>
      <c r="F152" s="7"/>
      <c r="G152" s="8" t="s">
        <v>20</v>
      </c>
      <c r="H152" s="9"/>
      <c r="I152" s="10">
        <v>45431</v>
      </c>
      <c r="J152" s="10">
        <v>45462</v>
      </c>
      <c r="K152" s="11">
        <f t="shared" ca="1" si="6"/>
        <v>-652</v>
      </c>
      <c r="L152" s="12" t="str">
        <f t="shared" ca="1" si="7"/>
        <v>🔴 متأخرة</v>
      </c>
      <c r="M152" s="40" t="s">
        <v>744</v>
      </c>
      <c r="N152" s="40"/>
      <c r="O152" s="40"/>
      <c r="P152" s="40" t="s">
        <v>29</v>
      </c>
    </row>
    <row r="153" spans="1:16" ht="27.75" hidden="1" customHeight="1" x14ac:dyDescent="0.4">
      <c r="A153" s="13">
        <v>151</v>
      </c>
      <c r="B153" s="39" t="s">
        <v>754</v>
      </c>
      <c r="C153" s="39" t="s">
        <v>97</v>
      </c>
      <c r="D153" s="39" t="s">
        <v>98</v>
      </c>
      <c r="E153" s="6"/>
      <c r="F153" s="7"/>
      <c r="G153" s="14" t="s">
        <v>28</v>
      </c>
      <c r="H153" s="15"/>
      <c r="I153" s="16">
        <v>45435</v>
      </c>
      <c r="J153" s="16">
        <v>45435</v>
      </c>
      <c r="K153" s="11" t="str">
        <f t="shared" ca="1" si="6"/>
        <v>✓</v>
      </c>
      <c r="L153" s="12" t="str">
        <f t="shared" ca="1" si="7"/>
        <v>🟢 مكتملة</v>
      </c>
      <c r="M153" s="39" t="s">
        <v>755</v>
      </c>
      <c r="N153" s="39"/>
      <c r="O153" s="39"/>
      <c r="P153" s="39" t="s">
        <v>29</v>
      </c>
    </row>
    <row r="154" spans="1:16" ht="27.75" hidden="1" customHeight="1" x14ac:dyDescent="0.4">
      <c r="A154" s="13">
        <v>152</v>
      </c>
      <c r="B154" s="40" t="s">
        <v>79</v>
      </c>
      <c r="C154" s="40" t="s">
        <v>31</v>
      </c>
      <c r="D154" s="40" t="s">
        <v>76</v>
      </c>
      <c r="E154" s="6"/>
      <c r="F154" s="7"/>
      <c r="G154" s="41" t="s">
        <v>28</v>
      </c>
      <c r="H154" s="9"/>
      <c r="I154" s="10">
        <v>45735</v>
      </c>
      <c r="J154" s="10">
        <v>45777</v>
      </c>
      <c r="K154" s="11" t="str">
        <f t="shared" ca="1" si="6"/>
        <v>✓</v>
      </c>
      <c r="L154" s="12" t="str">
        <f t="shared" ca="1" si="7"/>
        <v>🟢 مكتملة</v>
      </c>
      <c r="M154" s="40" t="s">
        <v>80</v>
      </c>
      <c r="N154" s="40"/>
      <c r="O154" s="40"/>
      <c r="P154" s="40" t="s">
        <v>81</v>
      </c>
    </row>
    <row r="155" spans="1:16" ht="27.75" hidden="1" customHeight="1" x14ac:dyDescent="0.4">
      <c r="A155" s="5">
        <v>153</v>
      </c>
      <c r="B155" s="40" t="s">
        <v>88</v>
      </c>
      <c r="C155" s="40" t="s">
        <v>38</v>
      </c>
      <c r="D155" s="40" t="s">
        <v>39</v>
      </c>
      <c r="E155" s="6"/>
      <c r="F155" s="7"/>
      <c r="G155" s="8" t="s">
        <v>20</v>
      </c>
      <c r="H155" s="9">
        <v>0.1</v>
      </c>
      <c r="I155" s="10"/>
      <c r="J155" s="5"/>
      <c r="K155" s="11" t="str">
        <f t="shared" ca="1" si="6"/>
        <v/>
      </c>
      <c r="L155" s="12" t="str">
        <f t="shared" ca="1" si="7"/>
        <v>🔴 متأخرة</v>
      </c>
      <c r="M155" s="40" t="s">
        <v>89</v>
      </c>
      <c r="N155" s="40" t="s">
        <v>90</v>
      </c>
      <c r="O155" s="40"/>
      <c r="P155" s="40" t="s">
        <v>81</v>
      </c>
    </row>
    <row r="156" spans="1:16" ht="27.75" hidden="1" customHeight="1" x14ac:dyDescent="0.4">
      <c r="A156" s="5">
        <v>154</v>
      </c>
      <c r="B156" s="40" t="s">
        <v>139</v>
      </c>
      <c r="C156" s="40" t="s">
        <v>38</v>
      </c>
      <c r="D156" s="40" t="s">
        <v>39</v>
      </c>
      <c r="E156" s="6"/>
      <c r="F156" s="7"/>
      <c r="G156" s="8" t="s">
        <v>20</v>
      </c>
      <c r="H156" s="9">
        <v>0.5</v>
      </c>
      <c r="I156" s="10"/>
      <c r="J156" s="5"/>
      <c r="K156" s="11" t="str">
        <f t="shared" ca="1" si="6"/>
        <v/>
      </c>
      <c r="L156" s="12" t="str">
        <f t="shared" ca="1" si="7"/>
        <v>🔴 متأخرة</v>
      </c>
      <c r="M156" s="40" t="s">
        <v>140</v>
      </c>
      <c r="N156" s="40" t="s">
        <v>141</v>
      </c>
      <c r="O156" s="40"/>
      <c r="P156" s="40" t="s">
        <v>81</v>
      </c>
    </row>
    <row r="157" spans="1:16" ht="27.75" hidden="1" customHeight="1" x14ac:dyDescent="0.4">
      <c r="A157" s="13">
        <v>155</v>
      </c>
      <c r="B157" s="39" t="s">
        <v>156</v>
      </c>
      <c r="C157" s="39" t="s">
        <v>31</v>
      </c>
      <c r="D157" s="39" t="s">
        <v>76</v>
      </c>
      <c r="E157" s="6"/>
      <c r="F157" s="7"/>
      <c r="G157" s="14" t="s">
        <v>28</v>
      </c>
      <c r="H157" s="15">
        <v>1</v>
      </c>
      <c r="I157" s="16">
        <v>45717</v>
      </c>
      <c r="J157" s="16">
        <v>45726</v>
      </c>
      <c r="K157" s="11" t="str">
        <f t="shared" ca="1" si="6"/>
        <v>✓</v>
      </c>
      <c r="L157" s="12" t="str">
        <f t="shared" ca="1" si="7"/>
        <v>🟢 مكتملة</v>
      </c>
      <c r="M157" s="39"/>
      <c r="N157" s="39"/>
      <c r="O157" s="39"/>
      <c r="P157" s="39" t="s">
        <v>81</v>
      </c>
    </row>
    <row r="158" spans="1:16" ht="27.75" hidden="1" customHeight="1" x14ac:dyDescent="0.4">
      <c r="A158" s="13">
        <v>156</v>
      </c>
      <c r="B158" s="40" t="s">
        <v>237</v>
      </c>
      <c r="C158" s="40" t="s">
        <v>42</v>
      </c>
      <c r="D158" s="40"/>
      <c r="E158" s="6"/>
      <c r="F158" s="7"/>
      <c r="G158" s="8" t="s">
        <v>20</v>
      </c>
      <c r="H158" s="9"/>
      <c r="I158" s="10">
        <v>45741</v>
      </c>
      <c r="J158" s="10">
        <v>45757</v>
      </c>
      <c r="K158" s="11">
        <f t="shared" ca="1" si="6"/>
        <v>-357</v>
      </c>
      <c r="L158" s="12" t="str">
        <f t="shared" ca="1" si="7"/>
        <v>🔴 متأخرة</v>
      </c>
      <c r="M158" s="40"/>
      <c r="N158" s="40" t="s">
        <v>65</v>
      </c>
      <c r="O158" s="40"/>
      <c r="P158" s="40" t="s">
        <v>81</v>
      </c>
    </row>
    <row r="159" spans="1:16" ht="27.75" hidden="1" customHeight="1" x14ac:dyDescent="0.4">
      <c r="A159" s="5">
        <v>157</v>
      </c>
      <c r="B159" s="40" t="s">
        <v>290</v>
      </c>
      <c r="C159" s="40" t="s">
        <v>50</v>
      </c>
      <c r="D159" s="40" t="s">
        <v>113</v>
      </c>
      <c r="E159" s="6"/>
      <c r="F159" s="7"/>
      <c r="G159" s="14" t="s">
        <v>28</v>
      </c>
      <c r="H159" s="9">
        <v>1</v>
      </c>
      <c r="I159" s="10"/>
      <c r="J159" s="5"/>
      <c r="K159" s="11" t="str">
        <f t="shared" ca="1" si="6"/>
        <v/>
      </c>
      <c r="L159" s="12" t="str">
        <f t="shared" ca="1" si="7"/>
        <v>🟢 مكتملة</v>
      </c>
      <c r="M159" s="40" t="s">
        <v>155</v>
      </c>
      <c r="N159" s="40" t="s">
        <v>291</v>
      </c>
      <c r="O159" s="40"/>
      <c r="P159" s="40" t="s">
        <v>81</v>
      </c>
    </row>
    <row r="160" spans="1:16" ht="27.75" hidden="1" customHeight="1" x14ac:dyDescent="0.4">
      <c r="A160" s="5">
        <v>158</v>
      </c>
      <c r="B160" s="39" t="s">
        <v>292</v>
      </c>
      <c r="C160" s="39" t="s">
        <v>50</v>
      </c>
      <c r="D160" s="39" t="s">
        <v>113</v>
      </c>
      <c r="E160" s="6"/>
      <c r="F160" s="7"/>
      <c r="G160" s="8" t="s">
        <v>20</v>
      </c>
      <c r="H160" s="15"/>
      <c r="I160" s="16">
        <v>45689</v>
      </c>
      <c r="J160" s="16">
        <v>45747</v>
      </c>
      <c r="K160" s="11">
        <f t="shared" ca="1" si="6"/>
        <v>-367</v>
      </c>
      <c r="L160" s="12" t="str">
        <f t="shared" ca="1" si="7"/>
        <v>🔴 متأخرة</v>
      </c>
      <c r="M160" s="39" t="s">
        <v>293</v>
      </c>
      <c r="N160" s="39"/>
      <c r="O160" s="39"/>
      <c r="P160" s="39" t="s">
        <v>81</v>
      </c>
    </row>
    <row r="161" spans="1:16" ht="27.75" hidden="1" customHeight="1" x14ac:dyDescent="0.4">
      <c r="A161" s="13">
        <v>159</v>
      </c>
      <c r="B161" s="40" t="s">
        <v>297</v>
      </c>
      <c r="C161" s="40" t="s">
        <v>42</v>
      </c>
      <c r="D161" s="40" t="s">
        <v>43</v>
      </c>
      <c r="E161" s="6"/>
      <c r="F161" s="7"/>
      <c r="G161" s="14" t="s">
        <v>28</v>
      </c>
      <c r="H161" s="9">
        <v>1</v>
      </c>
      <c r="I161" s="10"/>
      <c r="J161" s="10">
        <v>45747</v>
      </c>
      <c r="K161" s="11" t="str">
        <f t="shared" ca="1" si="6"/>
        <v>✓</v>
      </c>
      <c r="L161" s="12" t="str">
        <f t="shared" ca="1" si="7"/>
        <v>🟢 مكتملة</v>
      </c>
      <c r="M161" s="40" t="s">
        <v>298</v>
      </c>
      <c r="N161" s="40" t="s">
        <v>77</v>
      </c>
      <c r="O161" s="40"/>
      <c r="P161" s="40" t="s">
        <v>81</v>
      </c>
    </row>
    <row r="162" spans="1:16" ht="27.75" hidden="1" customHeight="1" x14ac:dyDescent="0.4">
      <c r="A162" s="13">
        <v>160</v>
      </c>
      <c r="B162" s="39" t="s">
        <v>299</v>
      </c>
      <c r="C162" s="39" t="s">
        <v>42</v>
      </c>
      <c r="D162" s="39" t="s">
        <v>43</v>
      </c>
      <c r="E162" s="6"/>
      <c r="F162" s="7"/>
      <c r="G162" s="14" t="s">
        <v>28</v>
      </c>
      <c r="H162" s="15">
        <v>1</v>
      </c>
      <c r="I162" s="16"/>
      <c r="J162" s="16" t="s">
        <v>300</v>
      </c>
      <c r="K162" s="11" t="str">
        <f t="shared" ca="1" si="6"/>
        <v>✓</v>
      </c>
      <c r="L162" s="12" t="str">
        <f t="shared" ca="1" si="7"/>
        <v>🟢 مكتملة</v>
      </c>
      <c r="M162" s="39" t="s">
        <v>301</v>
      </c>
      <c r="N162" s="39" t="s">
        <v>77</v>
      </c>
      <c r="O162" s="39"/>
      <c r="P162" s="39" t="s">
        <v>81</v>
      </c>
    </row>
    <row r="163" spans="1:16" ht="27.75" hidden="1" customHeight="1" x14ac:dyDescent="0.4">
      <c r="A163" s="13">
        <v>161</v>
      </c>
      <c r="B163" s="40" t="s">
        <v>320</v>
      </c>
      <c r="C163" s="40" t="s">
        <v>31</v>
      </c>
      <c r="D163" s="40" t="s">
        <v>32</v>
      </c>
      <c r="E163" s="6"/>
      <c r="F163" s="7"/>
      <c r="G163" s="8" t="s">
        <v>20</v>
      </c>
      <c r="H163" s="9"/>
      <c r="I163" s="10"/>
      <c r="J163" s="10">
        <v>45752</v>
      </c>
      <c r="K163" s="11">
        <f t="shared" ca="1" si="6"/>
        <v>-362</v>
      </c>
      <c r="L163" s="12" t="str">
        <f t="shared" ref="L163:L168" ca="1" si="8">IF(G163="مكتملة","🟢 مكتملة",IF(G163="لم تبدأ","⚪ لم تبدأ",IF(J163&lt;TODAY(),"🔴 متأخرة",IF(AND(I163&lt;&gt;"",J163&lt;&gt;"",H163&lt;&gt;"",((TODAY()-I163)/(J163-I163)-H163)&gt;0.3),"🟡 تحتاج متابعة","🟢 في المسار"))))</f>
        <v>🔴 متأخرة</v>
      </c>
      <c r="M163" s="40" t="s">
        <v>321</v>
      </c>
      <c r="N163" s="40" t="s">
        <v>322</v>
      </c>
      <c r="O163" s="40"/>
      <c r="P163" s="40" t="s">
        <v>81</v>
      </c>
    </row>
    <row r="164" spans="1:16" ht="27.75" hidden="1" customHeight="1" x14ac:dyDescent="0.4">
      <c r="A164" s="13">
        <v>162</v>
      </c>
      <c r="B164" s="40" t="s">
        <v>326</v>
      </c>
      <c r="C164" s="40" t="s">
        <v>38</v>
      </c>
      <c r="D164" s="40" t="s">
        <v>39</v>
      </c>
      <c r="E164" s="6"/>
      <c r="F164" s="7"/>
      <c r="G164" s="41" t="s">
        <v>28</v>
      </c>
      <c r="H164" s="9"/>
      <c r="I164" s="10">
        <v>45735</v>
      </c>
      <c r="J164" s="10">
        <v>45743</v>
      </c>
      <c r="K164" s="11" t="str">
        <f t="shared" ca="1" si="6"/>
        <v>✓</v>
      </c>
      <c r="L164" s="12" t="str">
        <f t="shared" ca="1" si="8"/>
        <v>🟢 مكتملة</v>
      </c>
      <c r="M164" s="40" t="s">
        <v>327</v>
      </c>
      <c r="N164" s="40"/>
      <c r="O164" s="40"/>
      <c r="P164" s="40" t="s">
        <v>81</v>
      </c>
    </row>
    <row r="165" spans="1:16" ht="27.75" hidden="1" customHeight="1" x14ac:dyDescent="0.4">
      <c r="A165" s="5">
        <v>163</v>
      </c>
      <c r="B165" s="40" t="s">
        <v>333</v>
      </c>
      <c r="C165" s="40" t="s">
        <v>31</v>
      </c>
      <c r="D165" s="40" t="s">
        <v>32</v>
      </c>
      <c r="E165" s="6"/>
      <c r="F165" s="7"/>
      <c r="G165" s="14" t="s">
        <v>28</v>
      </c>
      <c r="H165" s="9">
        <v>1</v>
      </c>
      <c r="I165" s="10"/>
      <c r="J165" s="5"/>
      <c r="K165" s="11" t="str">
        <f t="shared" ca="1" si="6"/>
        <v/>
      </c>
      <c r="L165" s="12" t="str">
        <f t="shared" ca="1" si="8"/>
        <v>🟢 مكتملة</v>
      </c>
      <c r="M165" s="40" t="s">
        <v>155</v>
      </c>
      <c r="N165" s="40" t="s">
        <v>334</v>
      </c>
      <c r="O165" s="40"/>
      <c r="P165" s="40" t="s">
        <v>81</v>
      </c>
    </row>
    <row r="166" spans="1:16" ht="27.75" hidden="1" customHeight="1" x14ac:dyDescent="0.4">
      <c r="A166" s="5">
        <v>164</v>
      </c>
      <c r="B166" s="39" t="s">
        <v>377</v>
      </c>
      <c r="C166" s="39" t="s">
        <v>31</v>
      </c>
      <c r="D166" s="39" t="s">
        <v>32</v>
      </c>
      <c r="E166" s="6"/>
      <c r="F166" s="7"/>
      <c r="G166" s="8" t="s">
        <v>20</v>
      </c>
      <c r="H166" s="15"/>
      <c r="I166" s="16">
        <v>45735</v>
      </c>
      <c r="J166" s="16">
        <v>45740</v>
      </c>
      <c r="K166" s="11">
        <f t="shared" ca="1" si="6"/>
        <v>-374</v>
      </c>
      <c r="L166" s="12" t="str">
        <f t="shared" ca="1" si="8"/>
        <v>🔴 متأخرة</v>
      </c>
      <c r="M166" s="39"/>
      <c r="N166" s="39"/>
      <c r="O166" s="39"/>
      <c r="P166" s="39" t="s">
        <v>81</v>
      </c>
    </row>
    <row r="167" spans="1:16" ht="27.75" hidden="1" customHeight="1" x14ac:dyDescent="0.4">
      <c r="A167" s="13">
        <v>165</v>
      </c>
      <c r="B167" s="40" t="s">
        <v>378</v>
      </c>
      <c r="C167" s="40" t="s">
        <v>97</v>
      </c>
      <c r="D167" s="40" t="s">
        <v>98</v>
      </c>
      <c r="E167" s="6"/>
      <c r="F167" s="7"/>
      <c r="G167" s="8" t="s">
        <v>28</v>
      </c>
      <c r="H167" s="9">
        <v>0.8</v>
      </c>
      <c r="I167" s="10">
        <v>45728</v>
      </c>
      <c r="J167" s="10">
        <v>45729</v>
      </c>
      <c r="K167" s="11" t="str">
        <f t="shared" ca="1" si="6"/>
        <v>✓</v>
      </c>
      <c r="L167" s="12" t="str">
        <f t="shared" ca="1" si="8"/>
        <v>🟢 مكتملة</v>
      </c>
      <c r="M167" s="40" t="s">
        <v>379</v>
      </c>
      <c r="N167" s="40"/>
      <c r="O167" s="40"/>
      <c r="P167" s="40" t="s">
        <v>81</v>
      </c>
    </row>
    <row r="168" spans="1:16" ht="27.75" hidden="1" customHeight="1" x14ac:dyDescent="0.4">
      <c r="A168" s="13">
        <v>166</v>
      </c>
      <c r="B168" s="40" t="s">
        <v>516</v>
      </c>
      <c r="C168" s="40" t="s">
        <v>55</v>
      </c>
      <c r="D168" s="40" t="s">
        <v>124</v>
      </c>
      <c r="E168" s="6"/>
      <c r="F168" s="7"/>
      <c r="G168" s="8" t="s">
        <v>20</v>
      </c>
      <c r="H168" s="9">
        <v>0.9</v>
      </c>
      <c r="I168" s="10"/>
      <c r="J168" s="5"/>
      <c r="K168" s="11" t="str">
        <f t="shared" ca="1" si="6"/>
        <v/>
      </c>
      <c r="L168" s="12" t="str">
        <f t="shared" ca="1" si="8"/>
        <v>🔴 متأخرة</v>
      </c>
      <c r="M168" s="40" t="s">
        <v>517</v>
      </c>
      <c r="N168" s="40" t="s">
        <v>518</v>
      </c>
      <c r="O168" s="40" t="s">
        <v>519</v>
      </c>
      <c r="P168" s="40" t="s">
        <v>81</v>
      </c>
    </row>
    <row r="169" spans="1:16" ht="27.75" hidden="1" customHeight="1" x14ac:dyDescent="0.4">
      <c r="A169" s="5">
        <v>167</v>
      </c>
      <c r="B169" s="39" t="s">
        <v>554</v>
      </c>
      <c r="C169" s="39" t="s">
        <v>31</v>
      </c>
      <c r="D169" s="39" t="s">
        <v>32</v>
      </c>
      <c r="E169" s="6"/>
      <c r="F169" s="7"/>
      <c r="G169" s="8" t="s">
        <v>20</v>
      </c>
      <c r="H169" s="15">
        <v>0.1</v>
      </c>
      <c r="I169" s="16"/>
      <c r="J169" s="16">
        <v>45777</v>
      </c>
      <c r="K169" s="11">
        <f t="shared" ca="1" si="6"/>
        <v>-337</v>
      </c>
      <c r="L169" s="12" t="str">
        <f ca="1">IFERROR(IF(G169="مكتملة","🟢 مكتملة",IF(G169="لم تبدأ","⚪ لم تبدأ",IF(J169&lt;TODAY(),"🔴 متأخرة",IF(AND(I169&lt;&gt;"",J169&lt;&gt;"",H169&lt;&gt;"",((TODAY()-I169)/(J169-I169)-H169)&gt;0.3),"🟡 تحتاج متابعة","🟢 في المسار")))),"⚠️ راجع البيانات")</f>
        <v>🔴 متأخرة</v>
      </c>
      <c r="M169" s="39" t="s">
        <v>555</v>
      </c>
      <c r="N169" s="39" t="s">
        <v>556</v>
      </c>
      <c r="O169" s="39"/>
      <c r="P169" s="39" t="s">
        <v>81</v>
      </c>
    </row>
    <row r="170" spans="1:16" ht="27.75" hidden="1" customHeight="1" x14ac:dyDescent="0.4">
      <c r="A170" s="5">
        <v>168</v>
      </c>
      <c r="B170" s="39" t="s">
        <v>633</v>
      </c>
      <c r="C170" s="39" t="s">
        <v>38</v>
      </c>
      <c r="D170" s="39" t="s">
        <v>39</v>
      </c>
      <c r="E170" s="6"/>
      <c r="F170" s="7"/>
      <c r="G170" s="14" t="s">
        <v>28</v>
      </c>
      <c r="H170" s="15">
        <v>1</v>
      </c>
      <c r="I170" s="16">
        <v>45735</v>
      </c>
      <c r="J170" s="16">
        <v>45739</v>
      </c>
      <c r="K170" s="11" t="str">
        <f t="shared" ca="1" si="6"/>
        <v>✓</v>
      </c>
      <c r="L170" s="12" t="str">
        <f t="shared" ref="L170:L201" ca="1" si="9">IF(G170="مكتملة","🟢 مكتملة",IF(G170="لم تبدأ","⚪ لم تبدأ",IF(J170&lt;TODAY(),"🔴 متأخرة",IF(AND(I170&lt;&gt;"",J170&lt;&gt;"",H170&lt;&gt;"",((TODAY()-I170)/(J170-I170)-H170)&gt;0.3),"🟡 تحتاج متابعة","🟢 في المسار"))))</f>
        <v>🟢 مكتملة</v>
      </c>
      <c r="M170" s="39" t="s">
        <v>634</v>
      </c>
      <c r="N170" s="39"/>
      <c r="O170" s="39"/>
      <c r="P170" s="39" t="s">
        <v>81</v>
      </c>
    </row>
    <row r="171" spans="1:16" ht="27.75" hidden="1" customHeight="1" x14ac:dyDescent="0.4">
      <c r="A171" s="13">
        <v>169</v>
      </c>
      <c r="B171" s="40" t="s">
        <v>638</v>
      </c>
      <c r="C171" s="40" t="s">
        <v>97</v>
      </c>
      <c r="D171" s="40" t="s">
        <v>98</v>
      </c>
      <c r="E171" s="6"/>
      <c r="F171" s="7"/>
      <c r="G171" s="14" t="s">
        <v>28</v>
      </c>
      <c r="H171" s="9">
        <v>1</v>
      </c>
      <c r="I171" s="10">
        <v>45740</v>
      </c>
      <c r="J171" s="10">
        <v>45742</v>
      </c>
      <c r="K171" s="11" t="str">
        <f t="shared" ca="1" si="6"/>
        <v>✓</v>
      </c>
      <c r="L171" s="12" t="str">
        <f t="shared" ca="1" si="9"/>
        <v>🟢 مكتملة</v>
      </c>
      <c r="M171" s="40" t="s">
        <v>639</v>
      </c>
      <c r="N171" s="40"/>
      <c r="O171" s="40" t="s">
        <v>640</v>
      </c>
      <c r="P171" s="40" t="s">
        <v>81</v>
      </c>
    </row>
    <row r="172" spans="1:16" ht="27.75" hidden="1" customHeight="1" x14ac:dyDescent="0.4">
      <c r="A172" s="13">
        <v>170</v>
      </c>
      <c r="B172" s="39" t="s">
        <v>687</v>
      </c>
      <c r="C172" s="39" t="s">
        <v>38</v>
      </c>
      <c r="D172" s="39" t="s">
        <v>39</v>
      </c>
      <c r="E172" s="6"/>
      <c r="F172" s="7"/>
      <c r="G172" s="14" t="s">
        <v>28</v>
      </c>
      <c r="H172" s="15">
        <v>1</v>
      </c>
      <c r="I172" s="16">
        <v>45718</v>
      </c>
      <c r="J172" s="16">
        <v>45729</v>
      </c>
      <c r="K172" s="11" t="str">
        <f t="shared" ca="1" si="6"/>
        <v>✓</v>
      </c>
      <c r="L172" s="12" t="str">
        <f t="shared" ca="1" si="9"/>
        <v>🟢 مكتملة</v>
      </c>
      <c r="M172" s="39" t="s">
        <v>688</v>
      </c>
      <c r="N172" s="39" t="s">
        <v>689</v>
      </c>
      <c r="O172" s="39"/>
      <c r="P172" s="39" t="s">
        <v>81</v>
      </c>
    </row>
    <row r="173" spans="1:16" ht="27.75" hidden="1" customHeight="1" x14ac:dyDescent="0.4">
      <c r="A173" s="13">
        <v>171</v>
      </c>
      <c r="B173" s="40" t="s">
        <v>690</v>
      </c>
      <c r="C173" s="40" t="s">
        <v>31</v>
      </c>
      <c r="D173" s="40" t="s">
        <v>76</v>
      </c>
      <c r="E173" s="6"/>
      <c r="F173" s="7"/>
      <c r="G173" s="8" t="s">
        <v>20</v>
      </c>
      <c r="H173" s="9">
        <v>1</v>
      </c>
      <c r="I173" s="10">
        <v>45721</v>
      </c>
      <c r="J173" s="10">
        <v>45777</v>
      </c>
      <c r="K173" s="11">
        <f t="shared" ca="1" si="6"/>
        <v>-337</v>
      </c>
      <c r="L173" s="12" t="str">
        <f t="shared" ca="1" si="9"/>
        <v>🔴 متأخرة</v>
      </c>
      <c r="M173" s="40" t="s">
        <v>691</v>
      </c>
      <c r="N173" s="40" t="s">
        <v>692</v>
      </c>
      <c r="O173" s="40"/>
      <c r="P173" s="40" t="s">
        <v>81</v>
      </c>
    </row>
    <row r="174" spans="1:16" ht="27.75" hidden="1" customHeight="1" x14ac:dyDescent="0.4">
      <c r="A174" s="13">
        <v>172</v>
      </c>
      <c r="B174" s="40" t="s">
        <v>694</v>
      </c>
      <c r="C174" s="40" t="s">
        <v>97</v>
      </c>
      <c r="D174" s="40" t="s">
        <v>98</v>
      </c>
      <c r="E174" s="6"/>
      <c r="F174" s="7"/>
      <c r="G174" s="14" t="s">
        <v>28</v>
      </c>
      <c r="H174" s="9">
        <v>1</v>
      </c>
      <c r="I174" s="10">
        <v>45717</v>
      </c>
      <c r="J174" s="10">
        <v>45721</v>
      </c>
      <c r="K174" s="11" t="str">
        <f t="shared" ca="1" si="6"/>
        <v>✓</v>
      </c>
      <c r="L174" s="12" t="str">
        <f t="shared" ca="1" si="9"/>
        <v>🟢 مكتملة</v>
      </c>
      <c r="M174" s="40" t="s">
        <v>695</v>
      </c>
      <c r="N174" s="40" t="s">
        <v>696</v>
      </c>
      <c r="O174" s="40"/>
      <c r="P174" s="40" t="s">
        <v>81</v>
      </c>
    </row>
    <row r="175" spans="1:16" ht="27.75" hidden="1" customHeight="1" x14ac:dyDescent="0.4">
      <c r="A175" s="5">
        <v>173</v>
      </c>
      <c r="B175" s="40" t="s">
        <v>757</v>
      </c>
      <c r="C175" s="40" t="s">
        <v>42</v>
      </c>
      <c r="D175" s="40" t="s">
        <v>43</v>
      </c>
      <c r="E175" s="6"/>
      <c r="F175" s="7"/>
      <c r="G175" s="14" t="s">
        <v>28</v>
      </c>
      <c r="H175" s="9">
        <v>1</v>
      </c>
      <c r="I175" s="10">
        <v>45721</v>
      </c>
      <c r="J175" s="10">
        <v>45762</v>
      </c>
      <c r="K175" s="11" t="str">
        <f t="shared" ca="1" si="6"/>
        <v>✓</v>
      </c>
      <c r="L175" s="12" t="str">
        <f t="shared" ca="1" si="9"/>
        <v>🟢 مكتملة</v>
      </c>
      <c r="M175" s="40" t="s">
        <v>758</v>
      </c>
      <c r="N175" s="40" t="s">
        <v>759</v>
      </c>
      <c r="O175" s="40"/>
      <c r="P175" s="40" t="s">
        <v>81</v>
      </c>
    </row>
    <row r="176" spans="1:16" ht="27.75" hidden="1" customHeight="1" x14ac:dyDescent="0.4">
      <c r="A176" s="5">
        <v>174</v>
      </c>
      <c r="B176" s="40" t="s">
        <v>17</v>
      </c>
      <c r="C176" s="40" t="s">
        <v>18</v>
      </c>
      <c r="D176" s="40" t="s">
        <v>19</v>
      </c>
      <c r="E176" s="6"/>
      <c r="F176" s="7"/>
      <c r="G176" s="8" t="s">
        <v>20</v>
      </c>
      <c r="H176" s="9"/>
      <c r="I176" s="10">
        <v>45468</v>
      </c>
      <c r="J176" s="5"/>
      <c r="K176" s="11" t="str">
        <f t="shared" ca="1" si="6"/>
        <v/>
      </c>
      <c r="L176" s="12" t="str">
        <f t="shared" ca="1" si="9"/>
        <v>🔴 متأخرة</v>
      </c>
      <c r="M176" s="40" t="s">
        <v>21</v>
      </c>
      <c r="N176" s="40"/>
      <c r="O176" s="40"/>
      <c r="P176" s="40" t="s">
        <v>22</v>
      </c>
    </row>
    <row r="177" spans="1:16" ht="27.75" hidden="1" customHeight="1" x14ac:dyDescent="0.4">
      <c r="A177" s="13">
        <v>175</v>
      </c>
      <c r="B177" s="40" t="s">
        <v>70</v>
      </c>
      <c r="C177" s="40" t="s">
        <v>38</v>
      </c>
      <c r="D177" s="40" t="s">
        <v>39</v>
      </c>
      <c r="E177" s="6"/>
      <c r="F177" s="7"/>
      <c r="G177" s="14" t="s">
        <v>28</v>
      </c>
      <c r="H177" s="9"/>
      <c r="I177" s="10">
        <v>45433</v>
      </c>
      <c r="J177" s="10">
        <v>45440</v>
      </c>
      <c r="K177" s="11" t="str">
        <f t="shared" ca="1" si="6"/>
        <v>✓</v>
      </c>
      <c r="L177" s="12" t="str">
        <f t="shared" ca="1" si="9"/>
        <v>🟢 مكتملة</v>
      </c>
      <c r="M177" s="40" t="s">
        <v>71</v>
      </c>
      <c r="N177" s="40"/>
      <c r="O177" s="40"/>
      <c r="P177" s="40" t="s">
        <v>22</v>
      </c>
    </row>
    <row r="178" spans="1:16" ht="27.75" hidden="1" customHeight="1" x14ac:dyDescent="0.4">
      <c r="A178" s="13">
        <v>176</v>
      </c>
      <c r="B178" s="39" t="s">
        <v>101</v>
      </c>
      <c r="C178" s="39" t="s">
        <v>18</v>
      </c>
      <c r="D178" s="39" t="s">
        <v>19</v>
      </c>
      <c r="E178" s="6"/>
      <c r="F178" s="7"/>
      <c r="G178" s="8" t="s">
        <v>20</v>
      </c>
      <c r="H178" s="15"/>
      <c r="I178" s="16"/>
      <c r="J178" s="13"/>
      <c r="K178" s="11" t="str">
        <f t="shared" ca="1" si="6"/>
        <v/>
      </c>
      <c r="L178" s="12" t="str">
        <f t="shared" ca="1" si="9"/>
        <v>🔴 متأخرة</v>
      </c>
      <c r="M178" s="39" t="s">
        <v>102</v>
      </c>
      <c r="N178" s="39"/>
      <c r="O178" s="39"/>
      <c r="P178" s="39" t="s">
        <v>22</v>
      </c>
    </row>
    <row r="179" spans="1:16" ht="27.75" hidden="1" customHeight="1" x14ac:dyDescent="0.4">
      <c r="A179" s="5">
        <v>177</v>
      </c>
      <c r="B179" s="40" t="s">
        <v>147</v>
      </c>
      <c r="C179" s="40" t="s">
        <v>97</v>
      </c>
      <c r="D179" s="40" t="s">
        <v>98</v>
      </c>
      <c r="E179" s="6"/>
      <c r="F179" s="7"/>
      <c r="G179" s="8" t="s">
        <v>28</v>
      </c>
      <c r="H179" s="9"/>
      <c r="I179" s="10">
        <v>45446</v>
      </c>
      <c r="J179" s="10">
        <v>45517</v>
      </c>
      <c r="K179" s="11" t="str">
        <f t="shared" ca="1" si="6"/>
        <v>✓</v>
      </c>
      <c r="L179" s="12" t="str">
        <f t="shared" ca="1" si="9"/>
        <v>🟢 مكتملة</v>
      </c>
      <c r="M179" s="40" t="s">
        <v>148</v>
      </c>
      <c r="N179" s="40"/>
      <c r="O179" s="40"/>
      <c r="P179" s="40" t="s">
        <v>22</v>
      </c>
    </row>
    <row r="180" spans="1:16" ht="27.75" hidden="1" customHeight="1" x14ac:dyDescent="0.4">
      <c r="A180" s="5">
        <v>178</v>
      </c>
      <c r="B180" s="39" t="s">
        <v>159</v>
      </c>
      <c r="C180" s="39" t="s">
        <v>31</v>
      </c>
      <c r="D180" s="39" t="s">
        <v>76</v>
      </c>
      <c r="E180" s="6"/>
      <c r="F180" s="7"/>
      <c r="G180" s="14" t="s">
        <v>28</v>
      </c>
      <c r="H180" s="15"/>
      <c r="I180" s="16">
        <v>45444</v>
      </c>
      <c r="J180" s="16">
        <v>45453</v>
      </c>
      <c r="K180" s="11" t="str">
        <f t="shared" ca="1" si="6"/>
        <v>✓</v>
      </c>
      <c r="L180" s="12" t="str">
        <f t="shared" ca="1" si="9"/>
        <v>🟢 مكتملة</v>
      </c>
      <c r="M180" s="39" t="s">
        <v>155</v>
      </c>
      <c r="N180" s="39"/>
      <c r="O180" s="39"/>
      <c r="P180" s="39" t="s">
        <v>22</v>
      </c>
    </row>
    <row r="181" spans="1:16" ht="27.75" hidden="1" customHeight="1" x14ac:dyDescent="0.4">
      <c r="A181" s="13">
        <v>179</v>
      </c>
      <c r="B181" s="39" t="s">
        <v>168</v>
      </c>
      <c r="C181" s="39" t="s">
        <v>31</v>
      </c>
      <c r="D181" s="39" t="s">
        <v>76</v>
      </c>
      <c r="E181" s="6"/>
      <c r="F181" s="7"/>
      <c r="G181" s="8" t="s">
        <v>20</v>
      </c>
      <c r="H181" s="15"/>
      <c r="I181" s="16">
        <v>45420</v>
      </c>
      <c r="J181" s="16">
        <v>45488</v>
      </c>
      <c r="K181" s="11">
        <f t="shared" ca="1" si="6"/>
        <v>-626</v>
      </c>
      <c r="L181" s="12" t="str">
        <f t="shared" ca="1" si="9"/>
        <v>🔴 متأخرة</v>
      </c>
      <c r="M181" s="39" t="s">
        <v>170</v>
      </c>
      <c r="N181" s="39"/>
      <c r="O181" s="39"/>
      <c r="P181" s="39" t="s">
        <v>22</v>
      </c>
    </row>
    <row r="182" spans="1:16" ht="27.75" hidden="1" customHeight="1" x14ac:dyDescent="0.4">
      <c r="A182" s="13">
        <v>180</v>
      </c>
      <c r="B182" s="40" t="s">
        <v>180</v>
      </c>
      <c r="C182" s="40" t="s">
        <v>42</v>
      </c>
      <c r="D182" s="40" t="s">
        <v>43</v>
      </c>
      <c r="E182" s="6"/>
      <c r="F182" s="7"/>
      <c r="G182" s="8" t="s">
        <v>20</v>
      </c>
      <c r="H182" s="9"/>
      <c r="I182" s="10">
        <v>45420</v>
      </c>
      <c r="J182" s="10">
        <v>45456</v>
      </c>
      <c r="K182" s="11">
        <f t="shared" ca="1" si="6"/>
        <v>-658</v>
      </c>
      <c r="L182" s="12" t="str">
        <f t="shared" ca="1" si="9"/>
        <v>🔴 متأخرة</v>
      </c>
      <c r="M182" s="40" t="s">
        <v>182</v>
      </c>
      <c r="N182" s="40"/>
      <c r="O182" s="40"/>
      <c r="P182" s="40" t="s">
        <v>22</v>
      </c>
    </row>
    <row r="183" spans="1:16" ht="27.75" hidden="1" customHeight="1" x14ac:dyDescent="0.4">
      <c r="A183" s="13">
        <v>181</v>
      </c>
      <c r="B183" s="40" t="s">
        <v>185</v>
      </c>
      <c r="C183" s="40" t="s">
        <v>26</v>
      </c>
      <c r="D183" s="40" t="s">
        <v>186</v>
      </c>
      <c r="E183" s="6"/>
      <c r="F183" s="7"/>
      <c r="G183" s="8" t="s">
        <v>20</v>
      </c>
      <c r="H183" s="9"/>
      <c r="I183" s="10">
        <v>45414</v>
      </c>
      <c r="J183" s="10">
        <v>45442</v>
      </c>
      <c r="K183" s="11">
        <f t="shared" ca="1" si="6"/>
        <v>-672</v>
      </c>
      <c r="L183" s="12" t="str">
        <f t="shared" ca="1" si="9"/>
        <v>🔴 متأخرة</v>
      </c>
      <c r="M183" s="40" t="s">
        <v>188</v>
      </c>
      <c r="N183" s="40"/>
      <c r="O183" s="40" t="s">
        <v>189</v>
      </c>
      <c r="P183" s="40" t="s">
        <v>22</v>
      </c>
    </row>
    <row r="184" spans="1:16" ht="27.75" hidden="1" customHeight="1" x14ac:dyDescent="0.4">
      <c r="A184" s="13">
        <v>182</v>
      </c>
      <c r="B184" s="40" t="s">
        <v>200</v>
      </c>
      <c r="C184" s="40" t="s">
        <v>26</v>
      </c>
      <c r="D184" s="40" t="s">
        <v>186</v>
      </c>
      <c r="E184" s="6"/>
      <c r="F184" s="7"/>
      <c r="G184" s="14" t="s">
        <v>28</v>
      </c>
      <c r="H184" s="9"/>
      <c r="I184" s="10">
        <v>45420</v>
      </c>
      <c r="J184" s="10">
        <v>45428</v>
      </c>
      <c r="K184" s="11" t="str">
        <f t="shared" ca="1" si="6"/>
        <v>✓</v>
      </c>
      <c r="L184" s="12" t="str">
        <f t="shared" ca="1" si="9"/>
        <v>🟢 مكتملة</v>
      </c>
      <c r="M184" s="40" t="s">
        <v>202</v>
      </c>
      <c r="N184" s="40"/>
      <c r="O184" s="40" t="s">
        <v>203</v>
      </c>
      <c r="P184" s="40" t="s">
        <v>22</v>
      </c>
    </row>
    <row r="185" spans="1:16" ht="27.75" hidden="1" customHeight="1" x14ac:dyDescent="0.4">
      <c r="A185" s="5">
        <v>183</v>
      </c>
      <c r="B185" s="40" t="s">
        <v>204</v>
      </c>
      <c r="C185" s="40" t="s">
        <v>26</v>
      </c>
      <c r="D185" s="40" t="s">
        <v>186</v>
      </c>
      <c r="E185" s="6"/>
      <c r="F185" s="7"/>
      <c r="G185" s="14" t="s">
        <v>28</v>
      </c>
      <c r="H185" s="9"/>
      <c r="I185" s="10">
        <v>45420</v>
      </c>
      <c r="J185" s="10">
        <v>45428</v>
      </c>
      <c r="K185" s="11" t="str">
        <f t="shared" ca="1" si="6"/>
        <v>✓</v>
      </c>
      <c r="L185" s="12" t="str">
        <f t="shared" ca="1" si="9"/>
        <v>🟢 مكتملة</v>
      </c>
      <c r="M185" s="40" t="s">
        <v>202</v>
      </c>
      <c r="N185" s="40"/>
      <c r="O185" s="40" t="s">
        <v>203</v>
      </c>
      <c r="P185" s="40" t="s">
        <v>22</v>
      </c>
    </row>
    <row r="186" spans="1:16" ht="27.75" hidden="1" customHeight="1" x14ac:dyDescent="0.4">
      <c r="A186" s="5">
        <v>184</v>
      </c>
      <c r="B186" s="40" t="s">
        <v>219</v>
      </c>
      <c r="C186" s="40" t="s">
        <v>97</v>
      </c>
      <c r="D186" s="40" t="s">
        <v>98</v>
      </c>
      <c r="E186" s="6"/>
      <c r="F186" s="7"/>
      <c r="G186" s="14" t="s">
        <v>28</v>
      </c>
      <c r="H186" s="9"/>
      <c r="I186" s="10">
        <v>45428</v>
      </c>
      <c r="J186" s="10">
        <v>45435</v>
      </c>
      <c r="K186" s="11" t="str">
        <f t="shared" ca="1" si="6"/>
        <v>✓</v>
      </c>
      <c r="L186" s="12" t="str">
        <f t="shared" ca="1" si="9"/>
        <v>🟢 مكتملة</v>
      </c>
      <c r="M186" s="40" t="s">
        <v>221</v>
      </c>
      <c r="N186" s="40"/>
      <c r="O186" s="40" t="s">
        <v>222</v>
      </c>
      <c r="P186" s="40" t="s">
        <v>22</v>
      </c>
    </row>
    <row r="187" spans="1:16" ht="27.75" hidden="1" customHeight="1" x14ac:dyDescent="0.4">
      <c r="A187" s="13">
        <v>185</v>
      </c>
      <c r="B187" s="39" t="s">
        <v>239</v>
      </c>
      <c r="C187" s="39" t="s">
        <v>63</v>
      </c>
      <c r="D187" s="39" t="s">
        <v>240</v>
      </c>
      <c r="E187" s="6"/>
      <c r="F187" s="7"/>
      <c r="G187" s="8" t="s">
        <v>20</v>
      </c>
      <c r="H187" s="15"/>
      <c r="I187" s="16">
        <v>45377</v>
      </c>
      <c r="J187" s="16">
        <v>45480</v>
      </c>
      <c r="K187" s="11">
        <f t="shared" ca="1" si="6"/>
        <v>-634</v>
      </c>
      <c r="L187" s="12" t="str">
        <f t="shared" ca="1" si="9"/>
        <v>🔴 متأخرة</v>
      </c>
      <c r="M187" s="39" t="s">
        <v>242</v>
      </c>
      <c r="N187" s="39"/>
      <c r="O187" s="39" t="s">
        <v>243</v>
      </c>
      <c r="P187" s="39" t="s">
        <v>22</v>
      </c>
    </row>
    <row r="188" spans="1:16" ht="27.75" hidden="1" customHeight="1" x14ac:dyDescent="0.4">
      <c r="A188" s="13">
        <v>186</v>
      </c>
      <c r="B188" s="40" t="s">
        <v>249</v>
      </c>
      <c r="C188" s="40" t="s">
        <v>38</v>
      </c>
      <c r="D188" s="40" t="s">
        <v>39</v>
      </c>
      <c r="E188" s="6"/>
      <c r="F188" s="7"/>
      <c r="G188" s="8" t="s">
        <v>20</v>
      </c>
      <c r="H188" s="9"/>
      <c r="I188" s="10">
        <v>45420</v>
      </c>
      <c r="J188" s="10">
        <v>45505</v>
      </c>
      <c r="K188" s="11">
        <f t="shared" ca="1" si="6"/>
        <v>-609</v>
      </c>
      <c r="L188" s="12" t="str">
        <f t="shared" ca="1" si="9"/>
        <v>🔴 متأخرة</v>
      </c>
      <c r="M188" s="40" t="s">
        <v>250</v>
      </c>
      <c r="N188" s="40"/>
      <c r="O188" s="40"/>
      <c r="P188" s="40" t="s">
        <v>22</v>
      </c>
    </row>
    <row r="189" spans="1:16" ht="27.75" hidden="1" customHeight="1" x14ac:dyDescent="0.4">
      <c r="A189" s="5">
        <v>187</v>
      </c>
      <c r="B189" s="39" t="s">
        <v>251</v>
      </c>
      <c r="C189" s="39" t="s">
        <v>26</v>
      </c>
      <c r="D189" s="39" t="s">
        <v>27</v>
      </c>
      <c r="E189" s="6"/>
      <c r="F189" s="7"/>
      <c r="G189" s="8" t="s">
        <v>20</v>
      </c>
      <c r="H189" s="15"/>
      <c r="I189" s="16"/>
      <c r="J189" s="13"/>
      <c r="K189" s="11" t="str">
        <f t="shared" ca="1" si="6"/>
        <v/>
      </c>
      <c r="L189" s="12" t="str">
        <f t="shared" ca="1" si="9"/>
        <v>🔴 متأخرة</v>
      </c>
      <c r="M189" s="39" t="s">
        <v>252</v>
      </c>
      <c r="N189" s="39"/>
      <c r="O189" s="39" t="s">
        <v>253</v>
      </c>
      <c r="P189" s="39" t="s">
        <v>22</v>
      </c>
    </row>
    <row r="190" spans="1:16" ht="27.75" hidden="1" customHeight="1" x14ac:dyDescent="0.4">
      <c r="A190" s="5">
        <v>188</v>
      </c>
      <c r="B190" s="40" t="s">
        <v>330</v>
      </c>
      <c r="C190" s="40" t="s">
        <v>279</v>
      </c>
      <c r="D190" s="40" t="s">
        <v>277</v>
      </c>
      <c r="E190" s="6"/>
      <c r="F190" s="7"/>
      <c r="G190" s="8" t="s">
        <v>20</v>
      </c>
      <c r="H190" s="9"/>
      <c r="I190" s="10">
        <v>45447</v>
      </c>
      <c r="J190" s="10">
        <v>45456</v>
      </c>
      <c r="K190" s="11">
        <f t="shared" ca="1" si="6"/>
        <v>-658</v>
      </c>
      <c r="L190" s="12" t="str">
        <f t="shared" ca="1" si="9"/>
        <v>🔴 متأخرة</v>
      </c>
      <c r="M190" s="40" t="s">
        <v>331</v>
      </c>
      <c r="N190" s="40"/>
      <c r="O190" s="40"/>
      <c r="P190" s="40" t="s">
        <v>22</v>
      </c>
    </row>
    <row r="191" spans="1:16" ht="27.75" hidden="1" customHeight="1" x14ac:dyDescent="0.4">
      <c r="A191" s="13">
        <v>189</v>
      </c>
      <c r="B191" s="40" t="s">
        <v>339</v>
      </c>
      <c r="C191" s="40" t="s">
        <v>42</v>
      </c>
      <c r="D191" s="40" t="s">
        <v>43</v>
      </c>
      <c r="E191" s="6"/>
      <c r="F191" s="7"/>
      <c r="G191" s="8" t="s">
        <v>20</v>
      </c>
      <c r="H191" s="9"/>
      <c r="I191" s="10">
        <v>45420</v>
      </c>
      <c r="J191" s="10">
        <v>45535</v>
      </c>
      <c r="K191" s="11">
        <f t="shared" ca="1" si="6"/>
        <v>-579</v>
      </c>
      <c r="L191" s="12" t="str">
        <f t="shared" ca="1" si="9"/>
        <v>🔴 متأخرة</v>
      </c>
      <c r="M191" s="40" t="s">
        <v>341</v>
      </c>
      <c r="N191" s="40"/>
      <c r="O191" s="40"/>
      <c r="P191" s="40" t="s">
        <v>22</v>
      </c>
    </row>
    <row r="192" spans="1:16" ht="27.75" hidden="1" customHeight="1" x14ac:dyDescent="0.4">
      <c r="A192" s="13">
        <v>190</v>
      </c>
      <c r="B192" s="39" t="s">
        <v>354</v>
      </c>
      <c r="C192" s="39" t="s">
        <v>55</v>
      </c>
      <c r="D192" s="39" t="s">
        <v>313</v>
      </c>
      <c r="E192" s="6"/>
      <c r="F192" s="7"/>
      <c r="G192" s="8" t="s">
        <v>20</v>
      </c>
      <c r="H192" s="15"/>
      <c r="I192" s="16">
        <v>45466</v>
      </c>
      <c r="J192" s="16">
        <v>45503</v>
      </c>
      <c r="K192" s="11">
        <f t="shared" ca="1" si="6"/>
        <v>-611</v>
      </c>
      <c r="L192" s="12" t="str">
        <f t="shared" ca="1" si="9"/>
        <v>🔴 متأخرة</v>
      </c>
      <c r="M192" s="39" t="s">
        <v>355</v>
      </c>
      <c r="N192" s="39"/>
      <c r="O192" s="39"/>
      <c r="P192" s="39" t="s">
        <v>22</v>
      </c>
    </row>
    <row r="193" spans="1:16" ht="27.75" hidden="1" customHeight="1" x14ac:dyDescent="0.4">
      <c r="A193" s="13">
        <v>191</v>
      </c>
      <c r="B193" s="40" t="s">
        <v>360</v>
      </c>
      <c r="C193" s="40" t="s">
        <v>55</v>
      </c>
      <c r="D193" s="40" t="s">
        <v>313</v>
      </c>
      <c r="E193" s="6"/>
      <c r="F193" s="7"/>
      <c r="G193" s="8" t="s">
        <v>20</v>
      </c>
      <c r="H193" s="9"/>
      <c r="I193" s="10">
        <v>45454</v>
      </c>
      <c r="J193" s="10">
        <v>45519</v>
      </c>
      <c r="K193" s="11">
        <f t="shared" ca="1" si="6"/>
        <v>-595</v>
      </c>
      <c r="L193" s="12" t="str">
        <f t="shared" ca="1" si="9"/>
        <v>🔴 متأخرة</v>
      </c>
      <c r="M193" s="40" t="s">
        <v>361</v>
      </c>
      <c r="N193" s="40"/>
      <c r="O193" s="40"/>
      <c r="P193" s="40" t="s">
        <v>22</v>
      </c>
    </row>
    <row r="194" spans="1:16" ht="27.75" hidden="1" customHeight="1" x14ac:dyDescent="0.4">
      <c r="A194" s="13">
        <v>192</v>
      </c>
      <c r="B194" s="40" t="s">
        <v>415</v>
      </c>
      <c r="C194" s="40" t="s">
        <v>210</v>
      </c>
      <c r="D194" s="40" t="s">
        <v>212</v>
      </c>
      <c r="E194" s="6"/>
      <c r="F194" s="7"/>
      <c r="G194" s="8" t="s">
        <v>20</v>
      </c>
      <c r="H194" s="9"/>
      <c r="I194" s="10">
        <v>45420</v>
      </c>
      <c r="J194" s="10">
        <v>45435</v>
      </c>
      <c r="K194" s="11">
        <f t="shared" ca="1" si="6"/>
        <v>-679</v>
      </c>
      <c r="L194" s="12" t="str">
        <f t="shared" ca="1" si="9"/>
        <v>🔴 متأخرة</v>
      </c>
      <c r="M194" s="40" t="s">
        <v>416</v>
      </c>
      <c r="N194" s="40"/>
      <c r="O194" s="40"/>
      <c r="P194" s="40" t="s">
        <v>22</v>
      </c>
    </row>
    <row r="195" spans="1:16" ht="27.75" hidden="1" customHeight="1" x14ac:dyDescent="0.4">
      <c r="A195" s="5">
        <v>193</v>
      </c>
      <c r="B195" s="40" t="s">
        <v>419</v>
      </c>
      <c r="C195" s="40" t="s">
        <v>42</v>
      </c>
      <c r="D195" s="40" t="s">
        <v>43</v>
      </c>
      <c r="E195" s="6"/>
      <c r="F195" s="7"/>
      <c r="G195" s="8" t="s">
        <v>20</v>
      </c>
      <c r="H195" s="9"/>
      <c r="I195" s="10">
        <v>45447</v>
      </c>
      <c r="J195" s="10">
        <v>45519</v>
      </c>
      <c r="K195" s="11">
        <f t="shared" ref="K195:K258" ca="1" si="10">IFERROR(IF(J195="","",IF(G195="مكتملة","✓",J195-TODAY())),"تاريخ غير صحيح")</f>
        <v>-595</v>
      </c>
      <c r="L195" s="12" t="str">
        <f t="shared" ca="1" si="9"/>
        <v>🔴 متأخرة</v>
      </c>
      <c r="M195" s="40" t="s">
        <v>420</v>
      </c>
      <c r="N195" s="40"/>
      <c r="O195" s="40"/>
      <c r="P195" s="40" t="s">
        <v>22</v>
      </c>
    </row>
    <row r="196" spans="1:16" ht="27.75" hidden="1" customHeight="1" x14ac:dyDescent="0.4">
      <c r="A196" s="5">
        <v>194</v>
      </c>
      <c r="B196" s="40" t="s">
        <v>576</v>
      </c>
      <c r="C196" s="40" t="s">
        <v>55</v>
      </c>
      <c r="D196" s="40" t="s">
        <v>313</v>
      </c>
      <c r="E196" s="6"/>
      <c r="F196" s="7"/>
      <c r="G196" s="8" t="s">
        <v>20</v>
      </c>
      <c r="H196" s="9"/>
      <c r="I196" s="10">
        <v>45431</v>
      </c>
      <c r="J196" s="10">
        <v>45519</v>
      </c>
      <c r="K196" s="11">
        <f t="shared" ca="1" si="10"/>
        <v>-595</v>
      </c>
      <c r="L196" s="12" t="str">
        <f t="shared" ca="1" si="9"/>
        <v>🔴 متأخرة</v>
      </c>
      <c r="M196" s="40" t="s">
        <v>577</v>
      </c>
      <c r="N196" s="40"/>
      <c r="O196" s="40" t="s">
        <v>578</v>
      </c>
      <c r="P196" s="40" t="s">
        <v>22</v>
      </c>
    </row>
    <row r="197" spans="1:16" ht="27.75" hidden="1" customHeight="1" x14ac:dyDescent="0.4">
      <c r="A197" s="13">
        <v>195</v>
      </c>
      <c r="B197" s="40" t="s">
        <v>584</v>
      </c>
      <c r="C197" s="40" t="s">
        <v>55</v>
      </c>
      <c r="D197" s="40" t="s">
        <v>313</v>
      </c>
      <c r="E197" s="6"/>
      <c r="F197" s="7"/>
      <c r="G197" s="14" t="s">
        <v>28</v>
      </c>
      <c r="H197" s="9"/>
      <c r="I197" s="10">
        <v>45427</v>
      </c>
      <c r="J197" s="10">
        <v>45441</v>
      </c>
      <c r="K197" s="11" t="str">
        <f t="shared" ca="1" si="10"/>
        <v>✓</v>
      </c>
      <c r="L197" s="12" t="str">
        <f t="shared" ca="1" si="9"/>
        <v>🟢 مكتملة</v>
      </c>
      <c r="M197" s="40" t="s">
        <v>586</v>
      </c>
      <c r="N197" s="40"/>
      <c r="O197" s="40"/>
      <c r="P197" s="40" t="s">
        <v>22</v>
      </c>
    </row>
    <row r="198" spans="1:16" ht="27.75" hidden="1" customHeight="1" x14ac:dyDescent="0.4">
      <c r="A198" s="13">
        <v>196</v>
      </c>
      <c r="B198" s="39" t="s">
        <v>599</v>
      </c>
      <c r="C198" s="39" t="s">
        <v>106</v>
      </c>
      <c r="D198" s="39" t="s">
        <v>106</v>
      </c>
      <c r="E198" s="6"/>
      <c r="F198" s="7"/>
      <c r="G198" s="41" t="s">
        <v>28</v>
      </c>
      <c r="H198" s="15"/>
      <c r="I198" s="16">
        <v>45421</v>
      </c>
      <c r="J198" s="16">
        <v>45470</v>
      </c>
      <c r="K198" s="11" t="str">
        <f t="shared" ca="1" si="10"/>
        <v>✓</v>
      </c>
      <c r="L198" s="12" t="str">
        <f t="shared" ca="1" si="9"/>
        <v>🟢 مكتملة</v>
      </c>
      <c r="M198" s="39" t="s">
        <v>600</v>
      </c>
      <c r="N198" s="39"/>
      <c r="O198" s="39"/>
      <c r="P198" s="39" t="s">
        <v>22</v>
      </c>
    </row>
    <row r="199" spans="1:16" ht="27.75" hidden="1" customHeight="1" x14ac:dyDescent="0.4">
      <c r="A199" s="5">
        <v>197</v>
      </c>
      <c r="B199" s="40" t="s">
        <v>621</v>
      </c>
      <c r="C199" s="40" t="s">
        <v>55</v>
      </c>
      <c r="D199" s="40" t="s">
        <v>313</v>
      </c>
      <c r="E199" s="6"/>
      <c r="F199" s="7"/>
      <c r="G199" s="8" t="s">
        <v>20</v>
      </c>
      <c r="H199" s="9"/>
      <c r="I199" s="10">
        <v>45448</v>
      </c>
      <c r="J199" s="10">
        <v>45488</v>
      </c>
      <c r="K199" s="11">
        <f t="shared" ca="1" si="10"/>
        <v>-626</v>
      </c>
      <c r="L199" s="12" t="str">
        <f t="shared" ca="1" si="9"/>
        <v>🔴 متأخرة</v>
      </c>
      <c r="M199" s="40" t="s">
        <v>361</v>
      </c>
      <c r="N199" s="40"/>
      <c r="O199" s="40"/>
      <c r="P199" s="40" t="s">
        <v>22</v>
      </c>
    </row>
    <row r="200" spans="1:16" ht="27.75" hidden="1" customHeight="1" x14ac:dyDescent="0.4">
      <c r="A200" s="5">
        <v>198</v>
      </c>
      <c r="B200" s="39" t="s">
        <v>648</v>
      </c>
      <c r="C200" s="39" t="s">
        <v>50</v>
      </c>
      <c r="D200" s="39" t="s">
        <v>47</v>
      </c>
      <c r="E200" s="6"/>
      <c r="F200" s="7"/>
      <c r="G200" s="14" t="s">
        <v>28</v>
      </c>
      <c r="H200" s="15"/>
      <c r="I200" s="16">
        <v>45426</v>
      </c>
      <c r="J200" s="16">
        <v>45442</v>
      </c>
      <c r="K200" s="11" t="str">
        <f t="shared" ca="1" si="10"/>
        <v>✓</v>
      </c>
      <c r="L200" s="12" t="str">
        <f t="shared" ca="1" si="9"/>
        <v>🟢 مكتملة</v>
      </c>
      <c r="M200" s="39" t="s">
        <v>650</v>
      </c>
      <c r="N200" s="39"/>
      <c r="O200" s="39" t="s">
        <v>651</v>
      </c>
      <c r="P200" s="39" t="s">
        <v>22</v>
      </c>
    </row>
    <row r="201" spans="1:16" ht="27.75" hidden="1" customHeight="1" x14ac:dyDescent="0.4">
      <c r="A201" s="13">
        <v>199</v>
      </c>
      <c r="B201" s="39" t="s">
        <v>663</v>
      </c>
      <c r="C201" s="39" t="s">
        <v>31</v>
      </c>
      <c r="D201" s="39" t="s">
        <v>76</v>
      </c>
      <c r="E201" s="6"/>
      <c r="F201" s="7"/>
      <c r="G201" s="8" t="s">
        <v>20</v>
      </c>
      <c r="H201" s="15"/>
      <c r="I201" s="16">
        <v>45428</v>
      </c>
      <c r="J201" s="16">
        <v>45456</v>
      </c>
      <c r="K201" s="11">
        <f t="shared" ca="1" si="10"/>
        <v>-658</v>
      </c>
      <c r="L201" s="12" t="str">
        <f t="shared" ca="1" si="9"/>
        <v>🔴 متأخرة</v>
      </c>
      <c r="M201" s="39" t="s">
        <v>665</v>
      </c>
      <c r="N201" s="39"/>
      <c r="O201" s="39" t="s">
        <v>666</v>
      </c>
      <c r="P201" s="39" t="s">
        <v>22</v>
      </c>
    </row>
    <row r="202" spans="1:16" ht="27.75" hidden="1" customHeight="1" x14ac:dyDescent="0.4">
      <c r="A202" s="13">
        <v>200</v>
      </c>
      <c r="B202" s="40" t="s">
        <v>673</v>
      </c>
      <c r="C202" s="40" t="s">
        <v>229</v>
      </c>
      <c r="D202" s="40" t="s">
        <v>263</v>
      </c>
      <c r="E202" s="6"/>
      <c r="F202" s="7"/>
      <c r="G202" s="14" t="s">
        <v>28</v>
      </c>
      <c r="H202" s="9"/>
      <c r="I202" s="10">
        <v>45449</v>
      </c>
      <c r="J202" s="10">
        <v>45456</v>
      </c>
      <c r="K202" s="11" t="str">
        <f t="shared" ca="1" si="10"/>
        <v>✓</v>
      </c>
      <c r="L202" s="12" t="str">
        <f t="shared" ref="L202:L233" ca="1" si="11">IF(G202="مكتملة","🟢 مكتملة",IF(G202="لم تبدأ","⚪ لم تبدأ",IF(J202&lt;TODAY(),"🔴 متأخرة",IF(AND(I202&lt;&gt;"",J202&lt;&gt;"",H202&lt;&gt;"",((TODAY()-I202)/(J202-I202)-H202)&gt;0.3),"🟡 تحتاج متابعة","🟢 في المسار"))))</f>
        <v>🟢 مكتملة</v>
      </c>
      <c r="M202" s="40" t="s">
        <v>674</v>
      </c>
      <c r="N202" s="40"/>
      <c r="O202" s="40"/>
      <c r="P202" s="40" t="s">
        <v>22</v>
      </c>
    </row>
    <row r="203" spans="1:16" ht="27.75" hidden="1" customHeight="1" x14ac:dyDescent="0.4">
      <c r="A203" s="13">
        <v>201</v>
      </c>
      <c r="B203" s="39" t="s">
        <v>675</v>
      </c>
      <c r="C203" s="39" t="s">
        <v>42</v>
      </c>
      <c r="D203" s="39" t="s">
        <v>43</v>
      </c>
      <c r="E203" s="6"/>
      <c r="F203" s="7"/>
      <c r="G203" s="8" t="s">
        <v>20</v>
      </c>
      <c r="H203" s="15"/>
      <c r="I203" s="16">
        <v>45446</v>
      </c>
      <c r="J203" s="16">
        <v>45503</v>
      </c>
      <c r="K203" s="11">
        <f t="shared" ca="1" si="10"/>
        <v>-611</v>
      </c>
      <c r="L203" s="12" t="str">
        <f t="shared" ca="1" si="11"/>
        <v>🔴 متأخرة</v>
      </c>
      <c r="M203" s="39" t="s">
        <v>676</v>
      </c>
      <c r="N203" s="39"/>
      <c r="O203" s="39" t="s">
        <v>677</v>
      </c>
      <c r="P203" s="39" t="s">
        <v>22</v>
      </c>
    </row>
    <row r="204" spans="1:16" ht="27.75" hidden="1" customHeight="1" x14ac:dyDescent="0.4">
      <c r="A204" s="13">
        <v>202</v>
      </c>
      <c r="B204" s="39" t="s">
        <v>743</v>
      </c>
      <c r="C204" s="39" t="s">
        <v>55</v>
      </c>
      <c r="D204" s="39" t="s">
        <v>313</v>
      </c>
      <c r="E204" s="6"/>
      <c r="F204" s="7"/>
      <c r="G204" s="8" t="s">
        <v>20</v>
      </c>
      <c r="H204" s="15"/>
      <c r="I204" s="16">
        <v>45431</v>
      </c>
      <c r="J204" s="16">
        <v>45462</v>
      </c>
      <c r="K204" s="11">
        <f t="shared" ca="1" si="10"/>
        <v>-652</v>
      </c>
      <c r="L204" s="12" t="str">
        <f t="shared" ca="1" si="11"/>
        <v>🔴 متأخرة</v>
      </c>
      <c r="M204" s="39" t="s">
        <v>745</v>
      </c>
      <c r="N204" s="39"/>
      <c r="O204" s="39"/>
      <c r="P204" s="39" t="s">
        <v>22</v>
      </c>
    </row>
    <row r="205" spans="1:16" ht="27.75" hidden="1" customHeight="1" x14ac:dyDescent="0.4">
      <c r="A205" s="5">
        <v>203</v>
      </c>
      <c r="B205" s="40" t="s">
        <v>776</v>
      </c>
      <c r="C205" s="40" t="s">
        <v>38</v>
      </c>
      <c r="D205" s="40" t="s">
        <v>39</v>
      </c>
      <c r="E205" s="6"/>
      <c r="F205" s="7"/>
      <c r="G205" s="14" t="s">
        <v>28</v>
      </c>
      <c r="H205" s="9"/>
      <c r="I205" s="10">
        <v>45446</v>
      </c>
      <c r="J205" s="10">
        <v>45503</v>
      </c>
      <c r="K205" s="11" t="str">
        <f t="shared" ca="1" si="10"/>
        <v>✓</v>
      </c>
      <c r="L205" s="12" t="str">
        <f t="shared" ca="1" si="11"/>
        <v>🟢 مكتملة</v>
      </c>
      <c r="M205" s="40" t="s">
        <v>777</v>
      </c>
      <c r="N205" s="40"/>
      <c r="O205" s="40" t="s">
        <v>778</v>
      </c>
      <c r="P205" s="40" t="s">
        <v>22</v>
      </c>
    </row>
    <row r="206" spans="1:16" ht="27.75" hidden="1" customHeight="1" x14ac:dyDescent="0.4">
      <c r="A206" s="5">
        <v>204</v>
      </c>
      <c r="B206" s="40" t="s">
        <v>101</v>
      </c>
      <c r="C206" s="40" t="s">
        <v>18</v>
      </c>
      <c r="D206" s="40" t="s">
        <v>19</v>
      </c>
      <c r="E206" s="6"/>
      <c r="F206" s="7"/>
      <c r="G206" s="8" t="s">
        <v>20</v>
      </c>
      <c r="H206" s="9"/>
      <c r="I206" s="10"/>
      <c r="J206" s="5"/>
      <c r="K206" s="11" t="str">
        <f t="shared" ca="1" si="10"/>
        <v/>
      </c>
      <c r="L206" s="12" t="str">
        <f t="shared" ca="1" si="11"/>
        <v>🔴 متأخرة</v>
      </c>
      <c r="M206" s="40" t="s">
        <v>102</v>
      </c>
      <c r="N206" s="40"/>
      <c r="O206" s="40"/>
      <c r="P206" s="40" t="s">
        <v>103</v>
      </c>
    </row>
    <row r="207" spans="1:16" ht="27.75" hidden="1" customHeight="1" x14ac:dyDescent="0.4">
      <c r="A207" s="13">
        <v>205</v>
      </c>
      <c r="B207" s="40" t="s">
        <v>168</v>
      </c>
      <c r="C207" s="40" t="s">
        <v>31</v>
      </c>
      <c r="D207" s="40" t="s">
        <v>76</v>
      </c>
      <c r="E207" s="6"/>
      <c r="F207" s="7"/>
      <c r="G207" s="8" t="s">
        <v>20</v>
      </c>
      <c r="H207" s="9"/>
      <c r="I207" s="10">
        <v>45420</v>
      </c>
      <c r="J207" s="10">
        <v>45488</v>
      </c>
      <c r="K207" s="11">
        <f t="shared" ca="1" si="10"/>
        <v>-626</v>
      </c>
      <c r="L207" s="12" t="str">
        <f t="shared" ca="1" si="11"/>
        <v>🔴 متأخرة</v>
      </c>
      <c r="M207" s="40" t="s">
        <v>170</v>
      </c>
      <c r="N207" s="40"/>
      <c r="O207" s="40"/>
      <c r="P207" s="40" t="s">
        <v>103</v>
      </c>
    </row>
    <row r="208" spans="1:16" ht="27.75" hidden="1" customHeight="1" x14ac:dyDescent="0.4">
      <c r="A208" s="13">
        <v>206</v>
      </c>
      <c r="B208" s="40" t="s">
        <v>239</v>
      </c>
      <c r="C208" s="40" t="s">
        <v>63</v>
      </c>
      <c r="D208" s="40" t="s">
        <v>240</v>
      </c>
      <c r="E208" s="6"/>
      <c r="F208" s="7"/>
      <c r="G208" s="8" t="s">
        <v>20</v>
      </c>
      <c r="H208" s="9"/>
      <c r="I208" s="10">
        <v>45377</v>
      </c>
      <c r="J208" s="10">
        <v>45480</v>
      </c>
      <c r="K208" s="11">
        <f t="shared" ca="1" si="10"/>
        <v>-634</v>
      </c>
      <c r="L208" s="12" t="str">
        <f t="shared" ca="1" si="11"/>
        <v>🔴 متأخرة</v>
      </c>
      <c r="M208" s="40"/>
      <c r="N208" s="40"/>
      <c r="O208" s="40"/>
      <c r="P208" s="40" t="s">
        <v>103</v>
      </c>
    </row>
    <row r="209" spans="1:16" ht="27.75" hidden="1" customHeight="1" x14ac:dyDescent="0.4">
      <c r="A209" s="5">
        <v>207</v>
      </c>
      <c r="B209" s="39" t="s">
        <v>249</v>
      </c>
      <c r="C209" s="39" t="s">
        <v>38</v>
      </c>
      <c r="D209" s="39" t="s">
        <v>39</v>
      </c>
      <c r="E209" s="6"/>
      <c r="F209" s="7"/>
      <c r="G209" s="8" t="s">
        <v>20</v>
      </c>
      <c r="H209" s="15"/>
      <c r="I209" s="16">
        <v>45420</v>
      </c>
      <c r="J209" s="16">
        <v>45505</v>
      </c>
      <c r="K209" s="11">
        <f t="shared" ca="1" si="10"/>
        <v>-609</v>
      </c>
      <c r="L209" s="12" t="str">
        <f t="shared" ca="1" si="11"/>
        <v>🔴 متأخرة</v>
      </c>
      <c r="M209" s="39" t="s">
        <v>250</v>
      </c>
      <c r="N209" s="39"/>
      <c r="O209" s="39"/>
      <c r="P209" s="39" t="s">
        <v>103</v>
      </c>
    </row>
    <row r="210" spans="1:16" ht="27.75" hidden="1" customHeight="1" x14ac:dyDescent="0.4">
      <c r="A210" s="5">
        <v>208</v>
      </c>
      <c r="B210" s="40" t="s">
        <v>251</v>
      </c>
      <c r="C210" s="40" t="s">
        <v>26</v>
      </c>
      <c r="D210" s="40" t="s">
        <v>27</v>
      </c>
      <c r="E210" s="6"/>
      <c r="F210" s="7"/>
      <c r="G210" s="8" t="s">
        <v>20</v>
      </c>
      <c r="H210" s="9"/>
      <c r="I210" s="10"/>
      <c r="J210" s="5"/>
      <c r="K210" s="11" t="str">
        <f t="shared" ca="1" si="10"/>
        <v/>
      </c>
      <c r="L210" s="12" t="str">
        <f t="shared" ca="1" si="11"/>
        <v>🔴 متأخرة</v>
      </c>
      <c r="M210" s="40" t="s">
        <v>254</v>
      </c>
      <c r="N210" s="40"/>
      <c r="O210" s="40" t="s">
        <v>255</v>
      </c>
      <c r="P210" s="40" t="s">
        <v>103</v>
      </c>
    </row>
    <row r="211" spans="1:16" ht="27.75" hidden="1" customHeight="1" x14ac:dyDescent="0.4">
      <c r="A211" s="13">
        <v>209</v>
      </c>
      <c r="B211" s="40" t="s">
        <v>284</v>
      </c>
      <c r="C211" s="40" t="s">
        <v>31</v>
      </c>
      <c r="D211" s="40" t="s">
        <v>32</v>
      </c>
      <c r="E211" s="6"/>
      <c r="F211" s="7"/>
      <c r="G211" s="14" t="s">
        <v>28</v>
      </c>
      <c r="H211" s="9"/>
      <c r="I211" s="10">
        <v>45426</v>
      </c>
      <c r="J211" s="10">
        <v>45442</v>
      </c>
      <c r="K211" s="11" t="str">
        <f t="shared" ca="1" si="10"/>
        <v>✓</v>
      </c>
      <c r="L211" s="12" t="str">
        <f t="shared" ca="1" si="11"/>
        <v>🟢 مكتملة</v>
      </c>
      <c r="M211" s="40" t="s">
        <v>286</v>
      </c>
      <c r="N211" s="40"/>
      <c r="O211" s="40"/>
      <c r="P211" s="40" t="s">
        <v>103</v>
      </c>
    </row>
    <row r="212" spans="1:16" ht="27.75" hidden="1" customHeight="1" x14ac:dyDescent="0.4">
      <c r="A212" s="13">
        <v>210</v>
      </c>
      <c r="B212" s="40" t="s">
        <v>305</v>
      </c>
      <c r="C212" s="40" t="s">
        <v>273</v>
      </c>
      <c r="D212" s="40" t="s">
        <v>274</v>
      </c>
      <c r="E212" s="6"/>
      <c r="F212" s="7"/>
      <c r="G212" s="14" t="s">
        <v>28</v>
      </c>
      <c r="H212" s="9"/>
      <c r="I212" s="10">
        <v>45446</v>
      </c>
      <c r="J212" s="10">
        <v>45456</v>
      </c>
      <c r="K212" s="11" t="str">
        <f t="shared" ca="1" si="10"/>
        <v>✓</v>
      </c>
      <c r="L212" s="12" t="str">
        <f t="shared" ca="1" si="11"/>
        <v>🟢 مكتملة</v>
      </c>
      <c r="M212" s="40" t="s">
        <v>306</v>
      </c>
      <c r="N212" s="40"/>
      <c r="O212" s="40"/>
      <c r="P212" s="40" t="s">
        <v>103</v>
      </c>
    </row>
    <row r="213" spans="1:16" ht="27.75" hidden="1" customHeight="1" x14ac:dyDescent="0.4">
      <c r="A213" s="13">
        <v>211</v>
      </c>
      <c r="B213" s="39" t="s">
        <v>339</v>
      </c>
      <c r="C213" s="39" t="s">
        <v>42</v>
      </c>
      <c r="D213" s="39" t="s">
        <v>43</v>
      </c>
      <c r="E213" s="6"/>
      <c r="F213" s="7"/>
      <c r="G213" s="8" t="s">
        <v>20</v>
      </c>
      <c r="H213" s="15"/>
      <c r="I213" s="16">
        <v>45420</v>
      </c>
      <c r="J213" s="16">
        <v>45535</v>
      </c>
      <c r="K213" s="11">
        <f t="shared" ca="1" si="10"/>
        <v>-579</v>
      </c>
      <c r="L213" s="12" t="str">
        <f t="shared" ca="1" si="11"/>
        <v>🔴 متأخرة</v>
      </c>
      <c r="M213" s="39" t="s">
        <v>341</v>
      </c>
      <c r="N213" s="39"/>
      <c r="O213" s="39"/>
      <c r="P213" s="39" t="s">
        <v>103</v>
      </c>
    </row>
    <row r="214" spans="1:16" ht="27.75" hidden="1" customHeight="1" x14ac:dyDescent="0.4">
      <c r="A214" s="13">
        <v>212</v>
      </c>
      <c r="B214" s="40" t="s">
        <v>354</v>
      </c>
      <c r="C214" s="40" t="s">
        <v>55</v>
      </c>
      <c r="D214" s="40" t="s">
        <v>313</v>
      </c>
      <c r="E214" s="6"/>
      <c r="F214" s="7"/>
      <c r="G214" s="8" t="s">
        <v>20</v>
      </c>
      <c r="H214" s="9"/>
      <c r="I214" s="10">
        <v>45466</v>
      </c>
      <c r="J214" s="10">
        <v>45503</v>
      </c>
      <c r="K214" s="11">
        <f t="shared" ca="1" si="10"/>
        <v>-611</v>
      </c>
      <c r="L214" s="12" t="str">
        <f t="shared" ca="1" si="11"/>
        <v>🔴 متأخرة</v>
      </c>
      <c r="M214" s="40" t="s">
        <v>355</v>
      </c>
      <c r="N214" s="40"/>
      <c r="O214" s="40"/>
      <c r="P214" s="40" t="s">
        <v>103</v>
      </c>
    </row>
    <row r="215" spans="1:16" ht="27.75" hidden="1" customHeight="1" x14ac:dyDescent="0.4">
      <c r="A215" s="5">
        <v>213</v>
      </c>
      <c r="B215" s="39" t="s">
        <v>360</v>
      </c>
      <c r="C215" s="39" t="s">
        <v>55</v>
      </c>
      <c r="D215" s="39" t="s">
        <v>313</v>
      </c>
      <c r="E215" s="6"/>
      <c r="F215" s="7"/>
      <c r="G215" s="8" t="s">
        <v>20</v>
      </c>
      <c r="H215" s="15"/>
      <c r="I215" s="16">
        <v>45454</v>
      </c>
      <c r="J215" s="16">
        <v>45519</v>
      </c>
      <c r="K215" s="11">
        <f t="shared" ca="1" si="10"/>
        <v>-595</v>
      </c>
      <c r="L215" s="12" t="str">
        <f t="shared" ca="1" si="11"/>
        <v>🔴 متأخرة</v>
      </c>
      <c r="M215" s="39" t="s">
        <v>361</v>
      </c>
      <c r="N215" s="39"/>
      <c r="O215" s="39"/>
      <c r="P215" s="39" t="s">
        <v>103</v>
      </c>
    </row>
    <row r="216" spans="1:16" ht="27.75" hidden="1" customHeight="1" x14ac:dyDescent="0.4">
      <c r="A216" s="5">
        <v>214</v>
      </c>
      <c r="B216" s="39" t="s">
        <v>419</v>
      </c>
      <c r="C216" s="39" t="s">
        <v>42</v>
      </c>
      <c r="D216" s="39" t="s">
        <v>43</v>
      </c>
      <c r="E216" s="6"/>
      <c r="F216" s="7"/>
      <c r="G216" s="8" t="s">
        <v>20</v>
      </c>
      <c r="H216" s="15"/>
      <c r="I216" s="16">
        <v>45447</v>
      </c>
      <c r="J216" s="16">
        <v>45519</v>
      </c>
      <c r="K216" s="11">
        <f t="shared" ca="1" si="10"/>
        <v>-595</v>
      </c>
      <c r="L216" s="12" t="str">
        <f t="shared" ca="1" si="11"/>
        <v>🔴 متأخرة</v>
      </c>
      <c r="M216" s="39" t="s">
        <v>420</v>
      </c>
      <c r="N216" s="39"/>
      <c r="O216" s="39"/>
      <c r="P216" s="39" t="s">
        <v>103</v>
      </c>
    </row>
    <row r="217" spans="1:16" ht="27.75" hidden="1" customHeight="1" x14ac:dyDescent="0.4">
      <c r="A217" s="13">
        <v>215</v>
      </c>
      <c r="B217" s="40" t="s">
        <v>487</v>
      </c>
      <c r="C217" s="40" t="s">
        <v>42</v>
      </c>
      <c r="D217" s="40" t="s">
        <v>43</v>
      </c>
      <c r="E217" s="6"/>
      <c r="F217" s="7"/>
      <c r="G217" s="14" t="s">
        <v>28</v>
      </c>
      <c r="H217" s="9"/>
      <c r="I217" s="10">
        <v>45417</v>
      </c>
      <c r="J217" s="10">
        <v>45428</v>
      </c>
      <c r="K217" s="11" t="str">
        <f t="shared" ca="1" si="10"/>
        <v>✓</v>
      </c>
      <c r="L217" s="12" t="str">
        <f t="shared" ca="1" si="11"/>
        <v>🟢 مكتملة</v>
      </c>
      <c r="M217" s="40" t="s">
        <v>77</v>
      </c>
      <c r="N217" s="40"/>
      <c r="O217" s="40"/>
      <c r="P217" s="40" t="s">
        <v>103</v>
      </c>
    </row>
    <row r="218" spans="1:16" ht="27.75" hidden="1" customHeight="1" x14ac:dyDescent="0.4">
      <c r="A218" s="13">
        <v>216</v>
      </c>
      <c r="B218" s="39" t="s">
        <v>498</v>
      </c>
      <c r="C218" s="39" t="s">
        <v>50</v>
      </c>
      <c r="D218" s="39" t="s">
        <v>47</v>
      </c>
      <c r="E218" s="6"/>
      <c r="F218" s="7"/>
      <c r="G218" s="14" t="s">
        <v>28</v>
      </c>
      <c r="H218" s="15"/>
      <c r="I218" s="16">
        <v>45417</v>
      </c>
      <c r="J218" s="16">
        <v>45428</v>
      </c>
      <c r="K218" s="11" t="str">
        <f t="shared" ca="1" si="10"/>
        <v>✓</v>
      </c>
      <c r="L218" s="12" t="str">
        <f t="shared" ca="1" si="11"/>
        <v>🟢 مكتملة</v>
      </c>
      <c r="M218" s="39" t="s">
        <v>500</v>
      </c>
      <c r="N218" s="39"/>
      <c r="O218" s="39"/>
      <c r="P218" s="39" t="s">
        <v>103</v>
      </c>
    </row>
    <row r="219" spans="1:16" ht="27.75" hidden="1" customHeight="1" x14ac:dyDescent="0.4">
      <c r="A219" s="5">
        <v>217</v>
      </c>
      <c r="B219" s="39" t="s">
        <v>576</v>
      </c>
      <c r="C219" s="39" t="s">
        <v>55</v>
      </c>
      <c r="D219" s="39" t="s">
        <v>313</v>
      </c>
      <c r="E219" s="6"/>
      <c r="F219" s="7"/>
      <c r="G219" s="8" t="s">
        <v>20</v>
      </c>
      <c r="H219" s="15"/>
      <c r="I219" s="16">
        <v>45431</v>
      </c>
      <c r="J219" s="16">
        <v>45519</v>
      </c>
      <c r="K219" s="11">
        <f t="shared" ca="1" si="10"/>
        <v>-595</v>
      </c>
      <c r="L219" s="12" t="str">
        <f t="shared" ca="1" si="11"/>
        <v>🔴 متأخرة</v>
      </c>
      <c r="M219" s="39" t="s">
        <v>579</v>
      </c>
      <c r="N219" s="39"/>
      <c r="O219" s="39" t="s">
        <v>578</v>
      </c>
      <c r="P219" s="39" t="s">
        <v>103</v>
      </c>
    </row>
    <row r="220" spans="1:16" ht="27.75" hidden="1" customHeight="1" x14ac:dyDescent="0.4">
      <c r="A220" s="5">
        <v>218</v>
      </c>
      <c r="B220" s="39" t="s">
        <v>621</v>
      </c>
      <c r="C220" s="39" t="s">
        <v>55</v>
      </c>
      <c r="D220" s="39" t="s">
        <v>313</v>
      </c>
      <c r="E220" s="6"/>
      <c r="F220" s="7"/>
      <c r="G220" s="8" t="s">
        <v>20</v>
      </c>
      <c r="H220" s="15"/>
      <c r="I220" s="16">
        <v>45448</v>
      </c>
      <c r="J220" s="16">
        <v>45488</v>
      </c>
      <c r="K220" s="11">
        <f t="shared" ca="1" si="10"/>
        <v>-626</v>
      </c>
      <c r="L220" s="12" t="str">
        <f t="shared" ca="1" si="11"/>
        <v>🔴 متأخرة</v>
      </c>
      <c r="M220" s="39" t="s">
        <v>361</v>
      </c>
      <c r="N220" s="39"/>
      <c r="O220" s="39"/>
      <c r="P220" s="39" t="s">
        <v>103</v>
      </c>
    </row>
    <row r="221" spans="1:16" ht="27.75" hidden="1" customHeight="1" x14ac:dyDescent="0.4">
      <c r="A221" s="13">
        <v>219</v>
      </c>
      <c r="B221" s="40" t="s">
        <v>675</v>
      </c>
      <c r="C221" s="40" t="s">
        <v>42</v>
      </c>
      <c r="D221" s="40" t="s">
        <v>43</v>
      </c>
      <c r="E221" s="6"/>
      <c r="F221" s="7"/>
      <c r="G221" s="8" t="s">
        <v>20</v>
      </c>
      <c r="H221" s="9"/>
      <c r="I221" s="10">
        <v>45446</v>
      </c>
      <c r="J221" s="10">
        <v>45503</v>
      </c>
      <c r="K221" s="11">
        <f t="shared" ca="1" si="10"/>
        <v>-611</v>
      </c>
      <c r="L221" s="12" t="str">
        <f t="shared" ca="1" si="11"/>
        <v>🔴 متأخرة</v>
      </c>
      <c r="M221" s="40" t="s">
        <v>676</v>
      </c>
      <c r="N221" s="40"/>
      <c r="O221" s="40" t="s">
        <v>677</v>
      </c>
      <c r="P221" s="40" t="s">
        <v>103</v>
      </c>
    </row>
    <row r="222" spans="1:16" ht="27.75" hidden="1" customHeight="1" x14ac:dyDescent="0.4">
      <c r="A222" s="13">
        <v>220</v>
      </c>
      <c r="B222" s="39" t="s">
        <v>776</v>
      </c>
      <c r="C222" s="39" t="s">
        <v>38</v>
      </c>
      <c r="D222" s="39" t="s">
        <v>39</v>
      </c>
      <c r="E222" s="6"/>
      <c r="F222" s="7"/>
      <c r="G222" s="14" t="s">
        <v>28</v>
      </c>
      <c r="H222" s="15"/>
      <c r="I222" s="16">
        <v>45446</v>
      </c>
      <c r="J222" s="16">
        <v>45503</v>
      </c>
      <c r="K222" s="11" t="str">
        <f t="shared" ca="1" si="10"/>
        <v>✓</v>
      </c>
      <c r="L222" s="12" t="str">
        <f t="shared" ca="1" si="11"/>
        <v>🟢 مكتملة</v>
      </c>
      <c r="M222" s="39" t="s">
        <v>777</v>
      </c>
      <c r="N222" s="39"/>
      <c r="O222" s="39" t="s">
        <v>778</v>
      </c>
      <c r="P222" s="39" t="s">
        <v>103</v>
      </c>
    </row>
    <row r="223" spans="1:16" ht="27.75" hidden="1" customHeight="1" x14ac:dyDescent="0.4">
      <c r="A223" s="13">
        <v>221</v>
      </c>
      <c r="B223" s="40" t="s">
        <v>269</v>
      </c>
      <c r="C223" s="40" t="s">
        <v>97</v>
      </c>
      <c r="D223" s="40"/>
      <c r="E223" s="6"/>
      <c r="F223" s="7"/>
      <c r="G223" s="13" t="s">
        <v>28</v>
      </c>
      <c r="H223" s="9"/>
      <c r="I223" s="10"/>
      <c r="J223" s="5"/>
      <c r="K223" s="11" t="str">
        <f t="shared" ca="1" si="10"/>
        <v/>
      </c>
      <c r="L223" s="12" t="str">
        <f t="shared" ca="1" si="11"/>
        <v>🟢 مكتملة</v>
      </c>
      <c r="M223" s="40"/>
      <c r="N223" s="40"/>
      <c r="O223" s="40"/>
      <c r="P223" s="40" t="s">
        <v>270</v>
      </c>
    </row>
    <row r="224" spans="1:16" ht="27.75" hidden="1" customHeight="1" x14ac:dyDescent="0.4">
      <c r="A224" s="13">
        <v>222</v>
      </c>
      <c r="B224" s="40" t="s">
        <v>360</v>
      </c>
      <c r="C224" s="40" t="s">
        <v>55</v>
      </c>
      <c r="D224" s="40" t="s">
        <v>56</v>
      </c>
      <c r="E224" s="6"/>
      <c r="F224" s="7"/>
      <c r="G224" s="8" t="s">
        <v>20</v>
      </c>
      <c r="H224" s="9"/>
      <c r="I224" s="10">
        <v>45662</v>
      </c>
      <c r="J224" s="10">
        <v>45722</v>
      </c>
      <c r="K224" s="11">
        <f t="shared" ca="1" si="10"/>
        <v>-392</v>
      </c>
      <c r="L224" s="12" t="str">
        <f t="shared" ca="1" si="11"/>
        <v>🔴 متأخرة</v>
      </c>
      <c r="M224" s="40" t="s">
        <v>370</v>
      </c>
      <c r="N224" s="40" t="s">
        <v>371</v>
      </c>
      <c r="O224" s="40"/>
      <c r="P224" s="40" t="s">
        <v>270</v>
      </c>
    </row>
    <row r="225" spans="1:16" ht="27.75" hidden="1" customHeight="1" x14ac:dyDescent="0.4">
      <c r="A225" s="5">
        <v>223</v>
      </c>
      <c r="B225" s="39" t="s">
        <v>375</v>
      </c>
      <c r="C225" s="39" t="s">
        <v>50</v>
      </c>
      <c r="D225" s="39" t="s">
        <v>113</v>
      </c>
      <c r="E225" s="6"/>
      <c r="F225" s="7"/>
      <c r="G225" s="8" t="s">
        <v>20</v>
      </c>
      <c r="H225" s="15">
        <v>0.9</v>
      </c>
      <c r="I225" s="16"/>
      <c r="J225" s="16">
        <v>45652</v>
      </c>
      <c r="K225" s="11">
        <f t="shared" ca="1" si="10"/>
        <v>-462</v>
      </c>
      <c r="L225" s="12" t="str">
        <f t="shared" ca="1" si="11"/>
        <v>🔴 متأخرة</v>
      </c>
      <c r="M225" s="39" t="s">
        <v>376</v>
      </c>
      <c r="N225" s="39"/>
      <c r="O225" s="39"/>
      <c r="P225" s="39" t="s">
        <v>270</v>
      </c>
    </row>
    <row r="226" spans="1:16" ht="27.75" hidden="1" customHeight="1" x14ac:dyDescent="0.4">
      <c r="A226" s="5">
        <v>224</v>
      </c>
      <c r="B226" s="39" t="s">
        <v>531</v>
      </c>
      <c r="C226" s="39" t="s">
        <v>63</v>
      </c>
      <c r="D226" s="39"/>
      <c r="E226" s="6"/>
      <c r="F226" s="7"/>
      <c r="G226" s="13" t="s">
        <v>28</v>
      </c>
      <c r="H226" s="15"/>
      <c r="I226" s="16"/>
      <c r="J226" s="13"/>
      <c r="K226" s="11" t="str">
        <f t="shared" ca="1" si="10"/>
        <v/>
      </c>
      <c r="L226" s="12" t="str">
        <f t="shared" ca="1" si="11"/>
        <v>🟢 مكتملة</v>
      </c>
      <c r="M226" s="39"/>
      <c r="N226" s="39"/>
      <c r="O226" s="39"/>
      <c r="P226" s="39" t="s">
        <v>270</v>
      </c>
    </row>
    <row r="227" spans="1:16" ht="27.75" hidden="1" customHeight="1" x14ac:dyDescent="0.4">
      <c r="A227" s="13">
        <v>225</v>
      </c>
      <c r="B227" s="39" t="s">
        <v>657</v>
      </c>
      <c r="C227" s="39" t="s">
        <v>50</v>
      </c>
      <c r="D227" s="39" t="s">
        <v>113</v>
      </c>
      <c r="E227" s="6"/>
      <c r="F227" s="7"/>
      <c r="G227" s="8" t="s">
        <v>20</v>
      </c>
      <c r="H227" s="15">
        <v>0.5</v>
      </c>
      <c r="I227" s="16">
        <v>45644</v>
      </c>
      <c r="J227" s="16">
        <v>45658</v>
      </c>
      <c r="K227" s="11">
        <f t="shared" ca="1" si="10"/>
        <v>-456</v>
      </c>
      <c r="L227" s="12" t="str">
        <f t="shared" ca="1" si="11"/>
        <v>🔴 متأخرة</v>
      </c>
      <c r="M227" s="39" t="s">
        <v>659</v>
      </c>
      <c r="N227" s="39" t="s">
        <v>660</v>
      </c>
      <c r="O227" s="39"/>
      <c r="P227" s="39" t="s">
        <v>270</v>
      </c>
    </row>
    <row r="228" spans="1:16" ht="27.75" hidden="1" customHeight="1" x14ac:dyDescent="0.4">
      <c r="A228" s="13">
        <v>226</v>
      </c>
      <c r="B228" s="39" t="s">
        <v>710</v>
      </c>
      <c r="C228" s="39" t="s">
        <v>55</v>
      </c>
      <c r="D228" s="39" t="s">
        <v>313</v>
      </c>
      <c r="E228" s="6"/>
      <c r="F228" s="7"/>
      <c r="G228" s="8" t="s">
        <v>20</v>
      </c>
      <c r="H228" s="15"/>
      <c r="I228" s="16">
        <v>45664</v>
      </c>
      <c r="J228" s="13"/>
      <c r="K228" s="11" t="str">
        <f t="shared" ca="1" si="10"/>
        <v/>
      </c>
      <c r="L228" s="12" t="str">
        <f t="shared" ca="1" si="11"/>
        <v>🔴 متأخرة</v>
      </c>
      <c r="M228" s="39" t="s">
        <v>711</v>
      </c>
      <c r="N228" s="39" t="s">
        <v>712</v>
      </c>
      <c r="O228" s="39"/>
      <c r="P228" s="39" t="s">
        <v>270</v>
      </c>
    </row>
    <row r="229" spans="1:16" ht="27.75" hidden="1" customHeight="1" x14ac:dyDescent="0.4">
      <c r="A229" s="5">
        <v>227</v>
      </c>
      <c r="B229" s="40" t="s">
        <v>756</v>
      </c>
      <c r="C229" s="40" t="s">
        <v>26</v>
      </c>
      <c r="D229" s="40"/>
      <c r="E229" s="6"/>
      <c r="F229" s="7"/>
      <c r="G229" s="13" t="s">
        <v>28</v>
      </c>
      <c r="H229" s="9"/>
      <c r="I229" s="10"/>
      <c r="J229" s="5"/>
      <c r="K229" s="11" t="str">
        <f t="shared" ca="1" si="10"/>
        <v/>
      </c>
      <c r="L229" s="12" t="str">
        <f t="shared" ca="1" si="11"/>
        <v>🟢 مكتملة</v>
      </c>
      <c r="M229" s="40"/>
      <c r="N229" s="40"/>
      <c r="O229" s="40"/>
      <c r="P229" s="40" t="s">
        <v>270</v>
      </c>
    </row>
    <row r="230" spans="1:16" ht="27.75" hidden="1" customHeight="1" x14ac:dyDescent="0.4">
      <c r="A230" s="5">
        <v>228</v>
      </c>
      <c r="B230" s="40" t="s">
        <v>770</v>
      </c>
      <c r="C230" s="40" t="s">
        <v>42</v>
      </c>
      <c r="D230" s="40" t="s">
        <v>43</v>
      </c>
      <c r="E230" s="6"/>
      <c r="F230" s="7"/>
      <c r="G230" s="8" t="s">
        <v>20</v>
      </c>
      <c r="H230" s="9">
        <v>0.9</v>
      </c>
      <c r="I230" s="10">
        <v>45518</v>
      </c>
      <c r="J230" s="10">
        <v>45646</v>
      </c>
      <c r="K230" s="11">
        <f t="shared" ca="1" si="10"/>
        <v>-468</v>
      </c>
      <c r="L230" s="12" t="str">
        <f t="shared" ca="1" si="11"/>
        <v>🔴 متأخرة</v>
      </c>
      <c r="M230" s="40" t="s">
        <v>773</v>
      </c>
      <c r="N230" s="40" t="s">
        <v>775</v>
      </c>
      <c r="O230" s="40"/>
      <c r="P230" s="40" t="s">
        <v>270</v>
      </c>
    </row>
    <row r="231" spans="1:16" ht="27.75" hidden="1" customHeight="1" x14ac:dyDescent="0.4">
      <c r="A231" s="13">
        <v>229</v>
      </c>
      <c r="B231" s="40" t="s">
        <v>316</v>
      </c>
      <c r="C231" s="40" t="s">
        <v>97</v>
      </c>
      <c r="D231" s="40" t="s">
        <v>98</v>
      </c>
      <c r="E231" s="6"/>
      <c r="F231" s="7"/>
      <c r="G231" s="8" t="s">
        <v>28</v>
      </c>
      <c r="H231" s="9">
        <v>1</v>
      </c>
      <c r="I231" s="10">
        <v>45666</v>
      </c>
      <c r="J231" s="10">
        <v>45669</v>
      </c>
      <c r="K231" s="11" t="str">
        <f t="shared" ca="1" si="10"/>
        <v>✓</v>
      </c>
      <c r="L231" s="12" t="str">
        <f t="shared" ca="1" si="11"/>
        <v>🟢 مكتملة</v>
      </c>
      <c r="M231" s="40" t="s">
        <v>317</v>
      </c>
      <c r="N231" s="40"/>
      <c r="O231" s="40"/>
      <c r="P231" s="40" t="s">
        <v>271</v>
      </c>
    </row>
    <row r="232" spans="1:16" ht="27.75" hidden="1" customHeight="1" x14ac:dyDescent="0.4">
      <c r="A232" s="13">
        <v>230</v>
      </c>
      <c r="B232" s="39" t="s">
        <v>360</v>
      </c>
      <c r="C232" s="39" t="s">
        <v>55</v>
      </c>
      <c r="D232" s="39" t="s">
        <v>56</v>
      </c>
      <c r="E232" s="6"/>
      <c r="F232" s="7"/>
      <c r="G232" s="8" t="s">
        <v>20</v>
      </c>
      <c r="H232" s="15"/>
      <c r="I232" s="16">
        <v>45662</v>
      </c>
      <c r="J232" s="16">
        <v>45722</v>
      </c>
      <c r="K232" s="11">
        <f t="shared" ca="1" si="10"/>
        <v>-392</v>
      </c>
      <c r="L232" s="12" t="str">
        <f t="shared" ca="1" si="11"/>
        <v>🔴 متأخرة</v>
      </c>
      <c r="M232" s="39" t="s">
        <v>370</v>
      </c>
      <c r="N232" s="39" t="s">
        <v>371</v>
      </c>
      <c r="O232" s="39"/>
      <c r="P232" s="39" t="s">
        <v>271</v>
      </c>
    </row>
    <row r="233" spans="1:16" ht="27.75" hidden="1" customHeight="1" x14ac:dyDescent="0.4">
      <c r="A233" s="13">
        <v>231</v>
      </c>
      <c r="B233" s="40" t="s">
        <v>375</v>
      </c>
      <c r="C233" s="40" t="s">
        <v>50</v>
      </c>
      <c r="D233" s="40" t="s">
        <v>113</v>
      </c>
      <c r="E233" s="6"/>
      <c r="F233" s="7"/>
      <c r="G233" s="8" t="s">
        <v>20</v>
      </c>
      <c r="H233" s="9">
        <v>0.9</v>
      </c>
      <c r="I233" s="10"/>
      <c r="J233" s="10">
        <v>45652</v>
      </c>
      <c r="K233" s="11">
        <f t="shared" ca="1" si="10"/>
        <v>-462</v>
      </c>
      <c r="L233" s="12" t="str">
        <f t="shared" ca="1" si="11"/>
        <v>🔴 متأخرة</v>
      </c>
      <c r="M233" s="40" t="s">
        <v>376</v>
      </c>
      <c r="N233" s="40"/>
      <c r="O233" s="40"/>
      <c r="P233" s="40" t="s">
        <v>271</v>
      </c>
    </row>
    <row r="234" spans="1:16" ht="27.75" hidden="1" customHeight="1" x14ac:dyDescent="0.4">
      <c r="A234" s="13">
        <v>232</v>
      </c>
      <c r="B234" s="40" t="s">
        <v>657</v>
      </c>
      <c r="C234" s="40" t="s">
        <v>50</v>
      </c>
      <c r="D234" s="40" t="s">
        <v>113</v>
      </c>
      <c r="E234" s="6"/>
      <c r="F234" s="7"/>
      <c r="G234" s="8" t="s">
        <v>20</v>
      </c>
      <c r="H234" s="9">
        <v>0.5</v>
      </c>
      <c r="I234" s="10">
        <v>45644</v>
      </c>
      <c r="J234" s="10">
        <v>45658</v>
      </c>
      <c r="K234" s="11">
        <f t="shared" ca="1" si="10"/>
        <v>-456</v>
      </c>
      <c r="L234" s="12" t="str">
        <f t="shared" ref="L234:L265" ca="1" si="12">IF(G234="مكتملة","🟢 مكتملة",IF(G234="لم تبدأ","⚪ لم تبدأ",IF(J234&lt;TODAY(),"🔴 متأخرة",IF(AND(I234&lt;&gt;"",J234&lt;&gt;"",H234&lt;&gt;"",((TODAY()-I234)/(J234-I234)-H234)&gt;0.3),"🟡 تحتاج متابعة","🟢 في المسار"))))</f>
        <v>🔴 متأخرة</v>
      </c>
      <c r="M234" s="40" t="s">
        <v>659</v>
      </c>
      <c r="N234" s="40" t="s">
        <v>660</v>
      </c>
      <c r="O234" s="40"/>
      <c r="P234" s="40" t="s">
        <v>271</v>
      </c>
    </row>
    <row r="235" spans="1:16" ht="27.75" hidden="1" customHeight="1" x14ac:dyDescent="0.4">
      <c r="A235" s="5">
        <v>233</v>
      </c>
      <c r="B235" s="40" t="s">
        <v>710</v>
      </c>
      <c r="C235" s="40" t="s">
        <v>55</v>
      </c>
      <c r="D235" s="40" t="s">
        <v>313</v>
      </c>
      <c r="E235" s="6"/>
      <c r="F235" s="7"/>
      <c r="G235" s="8" t="s">
        <v>20</v>
      </c>
      <c r="H235" s="9"/>
      <c r="I235" s="10">
        <v>45664</v>
      </c>
      <c r="J235" s="5"/>
      <c r="K235" s="11" t="str">
        <f t="shared" ca="1" si="10"/>
        <v/>
      </c>
      <c r="L235" s="12" t="str">
        <f t="shared" ca="1" si="12"/>
        <v>🔴 متأخرة</v>
      </c>
      <c r="M235" s="40" t="s">
        <v>711</v>
      </c>
      <c r="N235" s="40" t="s">
        <v>712</v>
      </c>
      <c r="O235" s="40"/>
      <c r="P235" s="40" t="s">
        <v>271</v>
      </c>
    </row>
    <row r="236" spans="1:16" ht="27.75" hidden="1" customHeight="1" x14ac:dyDescent="0.4">
      <c r="A236" s="5">
        <v>234</v>
      </c>
      <c r="B236" s="39" t="s">
        <v>770</v>
      </c>
      <c r="C236" s="39" t="s">
        <v>42</v>
      </c>
      <c r="D236" s="39" t="s">
        <v>43</v>
      </c>
      <c r="E236" s="6"/>
      <c r="F236" s="7"/>
      <c r="G236" s="8" t="s">
        <v>20</v>
      </c>
      <c r="H236" s="15">
        <v>0.9</v>
      </c>
      <c r="I236" s="16">
        <v>45518</v>
      </c>
      <c r="J236" s="16">
        <v>45646</v>
      </c>
      <c r="K236" s="11">
        <f t="shared" ca="1" si="10"/>
        <v>-468</v>
      </c>
      <c r="L236" s="12" t="str">
        <f t="shared" ca="1" si="12"/>
        <v>🔴 متأخرة</v>
      </c>
      <c r="M236" s="39" t="s">
        <v>773</v>
      </c>
      <c r="N236" s="39" t="s">
        <v>775</v>
      </c>
      <c r="O236" s="39"/>
      <c r="P236" s="39" t="s">
        <v>271</v>
      </c>
    </row>
    <row r="237" spans="1:16" ht="27.75" hidden="1" customHeight="1" x14ac:dyDescent="0.4">
      <c r="A237" s="13">
        <v>235</v>
      </c>
      <c r="B237" s="39" t="s">
        <v>190</v>
      </c>
      <c r="C237" s="39" t="s">
        <v>26</v>
      </c>
      <c r="D237" s="39" t="s">
        <v>186</v>
      </c>
      <c r="E237" s="6"/>
      <c r="F237" s="7"/>
      <c r="G237" s="14" t="s">
        <v>28</v>
      </c>
      <c r="H237" s="15">
        <v>1</v>
      </c>
      <c r="I237" s="16">
        <v>45519</v>
      </c>
      <c r="J237" s="16">
        <v>45534</v>
      </c>
      <c r="K237" s="11" t="str">
        <f t="shared" ca="1" si="10"/>
        <v>✓</v>
      </c>
      <c r="L237" s="12" t="str">
        <f t="shared" ca="1" si="12"/>
        <v>🟢 مكتملة</v>
      </c>
      <c r="M237" s="39" t="s">
        <v>196</v>
      </c>
      <c r="N237" s="39" t="s">
        <v>197</v>
      </c>
      <c r="O237" s="39"/>
      <c r="P237" s="39" t="s">
        <v>198</v>
      </c>
    </row>
    <row r="238" spans="1:16" ht="27.75" hidden="1" customHeight="1" x14ac:dyDescent="0.4">
      <c r="A238" s="13">
        <v>236</v>
      </c>
      <c r="B238" s="40" t="s">
        <v>302</v>
      </c>
      <c r="C238" s="40" t="s">
        <v>50</v>
      </c>
      <c r="D238" s="40" t="s">
        <v>113</v>
      </c>
      <c r="E238" s="6"/>
      <c r="F238" s="7"/>
      <c r="G238" s="8" t="s">
        <v>20</v>
      </c>
      <c r="H238" s="9">
        <v>0.5</v>
      </c>
      <c r="I238" s="10">
        <v>45655</v>
      </c>
      <c r="J238" s="10">
        <v>45657</v>
      </c>
      <c r="K238" s="11">
        <f t="shared" ca="1" si="10"/>
        <v>-457</v>
      </c>
      <c r="L238" s="12" t="str">
        <f t="shared" ca="1" si="12"/>
        <v>🔴 متأخرة</v>
      </c>
      <c r="M238" s="40"/>
      <c r="N238" s="40"/>
      <c r="O238" s="40"/>
      <c r="P238" s="40" t="s">
        <v>198</v>
      </c>
    </row>
    <row r="239" spans="1:16" ht="27.75" hidden="1" customHeight="1" x14ac:dyDescent="0.4">
      <c r="A239" s="5">
        <v>237</v>
      </c>
      <c r="B239" s="40" t="s">
        <v>375</v>
      </c>
      <c r="C239" s="40" t="s">
        <v>50</v>
      </c>
      <c r="D239" s="40" t="s">
        <v>113</v>
      </c>
      <c r="E239" s="6"/>
      <c r="F239" s="7"/>
      <c r="G239" s="8" t="s">
        <v>20</v>
      </c>
      <c r="H239" s="9">
        <v>0.5</v>
      </c>
      <c r="I239" s="10"/>
      <c r="J239" s="10">
        <v>45652</v>
      </c>
      <c r="K239" s="11">
        <f t="shared" ca="1" si="10"/>
        <v>-462</v>
      </c>
      <c r="L239" s="12" t="str">
        <f t="shared" ca="1" si="12"/>
        <v>🔴 متأخرة</v>
      </c>
      <c r="M239" s="40" t="s">
        <v>376</v>
      </c>
      <c r="N239" s="40"/>
      <c r="O239" s="40"/>
      <c r="P239" s="40" t="s">
        <v>198</v>
      </c>
    </row>
    <row r="240" spans="1:16" ht="27.75" hidden="1" customHeight="1" x14ac:dyDescent="0.4">
      <c r="A240" s="5">
        <v>238</v>
      </c>
      <c r="B240" s="39" t="s">
        <v>384</v>
      </c>
      <c r="C240" s="39" t="s">
        <v>42</v>
      </c>
      <c r="D240" s="39" t="s">
        <v>43</v>
      </c>
      <c r="E240" s="6"/>
      <c r="F240" s="7"/>
      <c r="G240" s="14" t="s">
        <v>28</v>
      </c>
      <c r="H240" s="15">
        <v>1</v>
      </c>
      <c r="I240" s="16">
        <v>45641</v>
      </c>
      <c r="J240" s="16">
        <v>45645</v>
      </c>
      <c r="K240" s="11" t="str">
        <f t="shared" ca="1" si="10"/>
        <v>✓</v>
      </c>
      <c r="L240" s="12" t="str">
        <f t="shared" ca="1" si="12"/>
        <v>🟢 مكتملة</v>
      </c>
      <c r="M240" s="39" t="s">
        <v>385</v>
      </c>
      <c r="N240" s="39" t="s">
        <v>386</v>
      </c>
      <c r="O240" s="39"/>
      <c r="P240" s="39" t="s">
        <v>198</v>
      </c>
    </row>
    <row r="241" spans="1:16" ht="27.75" hidden="1" customHeight="1" x14ac:dyDescent="0.4">
      <c r="A241" s="13">
        <v>239</v>
      </c>
      <c r="B241" s="39" t="s">
        <v>397</v>
      </c>
      <c r="C241" s="39" t="s">
        <v>55</v>
      </c>
      <c r="D241" s="39" t="s">
        <v>313</v>
      </c>
      <c r="E241" s="6"/>
      <c r="F241" s="7"/>
      <c r="G241" s="14" t="s">
        <v>28</v>
      </c>
      <c r="H241" s="15">
        <v>1</v>
      </c>
      <c r="I241" s="16">
        <v>45644</v>
      </c>
      <c r="J241" s="16">
        <v>45649</v>
      </c>
      <c r="K241" s="11" t="str">
        <f t="shared" ca="1" si="10"/>
        <v>✓</v>
      </c>
      <c r="L241" s="12" t="str">
        <f t="shared" ca="1" si="12"/>
        <v>🟢 مكتملة</v>
      </c>
      <c r="M241" s="39"/>
      <c r="N241" s="39"/>
      <c r="O241" s="39"/>
      <c r="P241" s="39" t="s">
        <v>198</v>
      </c>
    </row>
    <row r="242" spans="1:16" ht="27.75" hidden="1" customHeight="1" x14ac:dyDescent="0.4">
      <c r="A242" s="13">
        <v>240</v>
      </c>
      <c r="B242" s="40" t="s">
        <v>404</v>
      </c>
      <c r="C242" s="40" t="s">
        <v>97</v>
      </c>
      <c r="D242" s="40" t="s">
        <v>98</v>
      </c>
      <c r="E242" s="6"/>
      <c r="F242" s="7"/>
      <c r="G242" s="14" t="s">
        <v>28</v>
      </c>
      <c r="H242" s="9">
        <v>1</v>
      </c>
      <c r="I242" s="10">
        <v>45617</v>
      </c>
      <c r="J242" s="10">
        <v>45639</v>
      </c>
      <c r="K242" s="11" t="str">
        <f t="shared" ca="1" si="10"/>
        <v>✓</v>
      </c>
      <c r="L242" s="12" t="str">
        <f t="shared" ca="1" si="12"/>
        <v>🟢 مكتملة</v>
      </c>
      <c r="M242" s="40" t="s">
        <v>405</v>
      </c>
      <c r="N242" s="40"/>
      <c r="O242" s="40" t="s">
        <v>136</v>
      </c>
      <c r="P242" s="40" t="s">
        <v>198</v>
      </c>
    </row>
    <row r="243" spans="1:16" ht="27.75" hidden="1" customHeight="1" x14ac:dyDescent="0.4">
      <c r="A243" s="13">
        <v>241</v>
      </c>
      <c r="B243" s="40" t="s">
        <v>540</v>
      </c>
      <c r="C243" s="40" t="s">
        <v>55</v>
      </c>
      <c r="D243" s="40" t="s">
        <v>56</v>
      </c>
      <c r="E243" s="6"/>
      <c r="F243" s="7"/>
      <c r="G243" s="14" t="s">
        <v>28</v>
      </c>
      <c r="H243" s="9">
        <v>1</v>
      </c>
      <c r="I243" s="10">
        <v>45655</v>
      </c>
      <c r="J243" s="10">
        <v>45657</v>
      </c>
      <c r="K243" s="11" t="str">
        <f t="shared" ca="1" si="10"/>
        <v>✓</v>
      </c>
      <c r="L243" s="12" t="str">
        <f t="shared" ca="1" si="12"/>
        <v>🟢 مكتملة</v>
      </c>
      <c r="M243" s="40" t="s">
        <v>541</v>
      </c>
      <c r="N243" s="40" t="s">
        <v>542</v>
      </c>
      <c r="O243" s="40"/>
      <c r="P243" s="40" t="s">
        <v>198</v>
      </c>
    </row>
    <row r="244" spans="1:16" ht="27.75" hidden="1" customHeight="1" x14ac:dyDescent="0.4">
      <c r="A244" s="13">
        <v>242</v>
      </c>
      <c r="B244" s="39" t="s">
        <v>604</v>
      </c>
      <c r="C244" s="39" t="s">
        <v>38</v>
      </c>
      <c r="D244" s="39" t="s">
        <v>39</v>
      </c>
      <c r="E244" s="6"/>
      <c r="F244" s="7"/>
      <c r="G244" s="14" t="s">
        <v>28</v>
      </c>
      <c r="H244" s="15">
        <v>1</v>
      </c>
      <c r="I244" s="16">
        <v>45644</v>
      </c>
      <c r="J244" s="16">
        <v>45649</v>
      </c>
      <c r="K244" s="11" t="str">
        <f t="shared" ca="1" si="10"/>
        <v>✓</v>
      </c>
      <c r="L244" s="12" t="str">
        <f t="shared" ca="1" si="12"/>
        <v>🟢 مكتملة</v>
      </c>
      <c r="M244" s="39" t="s">
        <v>605</v>
      </c>
      <c r="N244" s="39"/>
      <c r="O244" s="39"/>
      <c r="P244" s="39" t="s">
        <v>198</v>
      </c>
    </row>
    <row r="245" spans="1:16" ht="27.75" hidden="1" customHeight="1" x14ac:dyDescent="0.4">
      <c r="A245" s="5">
        <v>243</v>
      </c>
      <c r="B245" s="39" t="s">
        <v>612</v>
      </c>
      <c r="C245" s="39" t="s">
        <v>26</v>
      </c>
      <c r="D245" s="39" t="s">
        <v>27</v>
      </c>
      <c r="E245" s="6"/>
      <c r="F245" s="7"/>
      <c r="G245" s="14" t="s">
        <v>28</v>
      </c>
      <c r="H245" s="15">
        <v>1</v>
      </c>
      <c r="I245" s="16">
        <v>45641</v>
      </c>
      <c r="J245" s="16">
        <v>45644</v>
      </c>
      <c r="K245" s="11" t="str">
        <f t="shared" ca="1" si="10"/>
        <v>✓</v>
      </c>
      <c r="L245" s="12" t="str">
        <f t="shared" ca="1" si="12"/>
        <v>🟢 مكتملة</v>
      </c>
      <c r="M245" s="39" t="s">
        <v>613</v>
      </c>
      <c r="N245" s="39"/>
      <c r="O245" s="39"/>
      <c r="P245" s="39" t="s">
        <v>198</v>
      </c>
    </row>
    <row r="246" spans="1:16" ht="27.75" hidden="1" customHeight="1" x14ac:dyDescent="0.4">
      <c r="A246" s="5">
        <v>244</v>
      </c>
      <c r="B246" s="40" t="s">
        <v>631</v>
      </c>
      <c r="C246" s="40" t="s">
        <v>31</v>
      </c>
      <c r="D246" s="40" t="s">
        <v>76</v>
      </c>
      <c r="E246" s="6"/>
      <c r="F246" s="7"/>
      <c r="G246" s="14" t="s">
        <v>28</v>
      </c>
      <c r="H246" s="9">
        <v>1</v>
      </c>
      <c r="I246" s="10">
        <v>45644</v>
      </c>
      <c r="J246" s="5"/>
      <c r="K246" s="11" t="str">
        <f t="shared" ca="1" si="10"/>
        <v/>
      </c>
      <c r="L246" s="12" t="str">
        <f t="shared" ca="1" si="12"/>
        <v>🟢 مكتملة</v>
      </c>
      <c r="M246" s="40" t="s">
        <v>632</v>
      </c>
      <c r="N246" s="40"/>
      <c r="O246" s="40"/>
      <c r="P246" s="40" t="s">
        <v>198</v>
      </c>
    </row>
    <row r="247" spans="1:16" ht="27.75" hidden="1" customHeight="1" x14ac:dyDescent="0.4">
      <c r="A247" s="13">
        <v>245</v>
      </c>
      <c r="B247" s="40" t="s">
        <v>635</v>
      </c>
      <c r="C247" s="40" t="s">
        <v>31</v>
      </c>
      <c r="D247" s="40" t="s">
        <v>76</v>
      </c>
      <c r="E247" s="6"/>
      <c r="F247" s="7"/>
      <c r="G247" s="8" t="s">
        <v>20</v>
      </c>
      <c r="H247" s="9"/>
      <c r="I247" s="10">
        <v>45644</v>
      </c>
      <c r="J247" s="5"/>
      <c r="K247" s="11" t="str">
        <f t="shared" ca="1" si="10"/>
        <v/>
      </c>
      <c r="L247" s="12" t="str">
        <f t="shared" ca="1" si="12"/>
        <v>🔴 متأخرة</v>
      </c>
      <c r="M247" s="40"/>
      <c r="N247" s="40"/>
      <c r="O247" s="40"/>
      <c r="P247" s="40" t="s">
        <v>198</v>
      </c>
    </row>
    <row r="248" spans="1:16" ht="27.75" hidden="1" customHeight="1" x14ac:dyDescent="0.4">
      <c r="A248" s="13">
        <v>246</v>
      </c>
      <c r="B248" s="40" t="s">
        <v>657</v>
      </c>
      <c r="C248" s="40" t="s">
        <v>50</v>
      </c>
      <c r="D248" s="40" t="s">
        <v>113</v>
      </c>
      <c r="E248" s="6"/>
      <c r="F248" s="7"/>
      <c r="G248" s="8" t="s">
        <v>20</v>
      </c>
      <c r="H248" s="9">
        <v>0.5</v>
      </c>
      <c r="I248" s="10">
        <v>45644</v>
      </c>
      <c r="J248" s="10">
        <v>45658</v>
      </c>
      <c r="K248" s="11">
        <f t="shared" ca="1" si="10"/>
        <v>-456</v>
      </c>
      <c r="L248" s="12" t="str">
        <f t="shared" ca="1" si="12"/>
        <v>🔴 متأخرة</v>
      </c>
      <c r="M248" s="40" t="s">
        <v>658</v>
      </c>
      <c r="N248" s="40"/>
      <c r="O248" s="40"/>
      <c r="P248" s="40" t="s">
        <v>198</v>
      </c>
    </row>
    <row r="249" spans="1:16" ht="27.75" hidden="1" customHeight="1" x14ac:dyDescent="0.4">
      <c r="A249" s="5">
        <v>247</v>
      </c>
      <c r="B249" s="39" t="s">
        <v>770</v>
      </c>
      <c r="C249" s="39" t="s">
        <v>42</v>
      </c>
      <c r="D249" s="39" t="s">
        <v>43</v>
      </c>
      <c r="E249" s="6"/>
      <c r="F249" s="7"/>
      <c r="G249" s="8" t="s">
        <v>20</v>
      </c>
      <c r="H249" s="15">
        <v>0.9</v>
      </c>
      <c r="I249" s="16">
        <v>45518</v>
      </c>
      <c r="J249" s="16">
        <v>45646</v>
      </c>
      <c r="K249" s="11">
        <f t="shared" ca="1" si="10"/>
        <v>-468</v>
      </c>
      <c r="L249" s="12" t="str">
        <f t="shared" ca="1" si="12"/>
        <v>🔴 متأخرة</v>
      </c>
      <c r="M249" s="39" t="s">
        <v>773</v>
      </c>
      <c r="N249" s="39" t="s">
        <v>775</v>
      </c>
      <c r="O249" s="39"/>
      <c r="P249" s="39" t="s">
        <v>198</v>
      </c>
    </row>
    <row r="250" spans="1:16" ht="27.75" hidden="1" customHeight="1" x14ac:dyDescent="0.4">
      <c r="A250" s="5">
        <v>248</v>
      </c>
      <c r="B250" s="39" t="s">
        <v>17</v>
      </c>
      <c r="C250" s="39" t="s">
        <v>18</v>
      </c>
      <c r="D250" s="39" t="s">
        <v>19</v>
      </c>
      <c r="E250" s="6"/>
      <c r="F250" s="7"/>
      <c r="G250" s="8" t="s">
        <v>20</v>
      </c>
      <c r="H250" s="15"/>
      <c r="I250" s="16"/>
      <c r="J250" s="13"/>
      <c r="K250" s="11" t="str">
        <f t="shared" ca="1" si="10"/>
        <v/>
      </c>
      <c r="L250" s="12" t="str">
        <f t="shared" ca="1" si="12"/>
        <v>🔴 متأخرة</v>
      </c>
      <c r="M250" s="39" t="s">
        <v>23</v>
      </c>
      <c r="N250" s="39"/>
      <c r="O250" s="39"/>
      <c r="P250" s="39" t="s">
        <v>24</v>
      </c>
    </row>
    <row r="251" spans="1:16" ht="27.75" hidden="1" customHeight="1" x14ac:dyDescent="0.4">
      <c r="A251" s="13">
        <v>249</v>
      </c>
      <c r="B251" s="40" t="s">
        <v>46</v>
      </c>
      <c r="C251" s="40" t="s">
        <v>38</v>
      </c>
      <c r="D251" s="40" t="s">
        <v>47</v>
      </c>
      <c r="E251" s="6"/>
      <c r="F251" s="7"/>
      <c r="G251" s="41" t="s">
        <v>28</v>
      </c>
      <c r="H251" s="9"/>
      <c r="I251" s="10"/>
      <c r="J251" s="5"/>
      <c r="K251" s="11" t="str">
        <f t="shared" ca="1" si="10"/>
        <v/>
      </c>
      <c r="L251" s="12" t="str">
        <f t="shared" ca="1" si="12"/>
        <v>🟢 مكتملة</v>
      </c>
      <c r="M251" s="40" t="s">
        <v>49</v>
      </c>
      <c r="N251" s="40"/>
      <c r="O251" s="40"/>
      <c r="P251" s="40" t="s">
        <v>24</v>
      </c>
    </row>
    <row r="252" spans="1:16" ht="27.75" hidden="1" customHeight="1" x14ac:dyDescent="0.4">
      <c r="A252" s="13">
        <v>250</v>
      </c>
      <c r="B252" s="39" t="s">
        <v>101</v>
      </c>
      <c r="C252" s="39" t="s">
        <v>18</v>
      </c>
      <c r="D252" s="39" t="s">
        <v>19</v>
      </c>
      <c r="E252" s="6"/>
      <c r="F252" s="7"/>
      <c r="G252" s="8" t="s">
        <v>28</v>
      </c>
      <c r="H252" s="15"/>
      <c r="I252" s="16"/>
      <c r="J252" s="13"/>
      <c r="K252" s="11" t="str">
        <f t="shared" ca="1" si="10"/>
        <v/>
      </c>
      <c r="L252" s="12" t="str">
        <f t="shared" ca="1" si="12"/>
        <v>🟢 مكتملة</v>
      </c>
      <c r="M252" s="39" t="s">
        <v>104</v>
      </c>
      <c r="N252" s="39"/>
      <c r="O252" s="39"/>
      <c r="P252" s="39" t="s">
        <v>24</v>
      </c>
    </row>
    <row r="253" spans="1:16" ht="27.75" hidden="1" customHeight="1" x14ac:dyDescent="0.4">
      <c r="A253" s="13">
        <v>251</v>
      </c>
      <c r="B253" s="39" t="s">
        <v>116</v>
      </c>
      <c r="C253" s="39" t="s">
        <v>31</v>
      </c>
      <c r="D253" s="39" t="s">
        <v>76</v>
      </c>
      <c r="E253" s="6"/>
      <c r="F253" s="7"/>
      <c r="G253" s="8" t="s">
        <v>28</v>
      </c>
      <c r="H253" s="15"/>
      <c r="I253" s="16"/>
      <c r="J253" s="13"/>
      <c r="K253" s="11" t="str">
        <f t="shared" ca="1" si="10"/>
        <v/>
      </c>
      <c r="L253" s="12" t="str">
        <f t="shared" ca="1" si="12"/>
        <v>🟢 مكتملة</v>
      </c>
      <c r="M253" s="39" t="s">
        <v>117</v>
      </c>
      <c r="N253" s="39"/>
      <c r="O253" s="39"/>
      <c r="P253" s="39" t="s">
        <v>24</v>
      </c>
    </row>
    <row r="254" spans="1:16" ht="27.75" hidden="1" customHeight="1" x14ac:dyDescent="0.4">
      <c r="A254" s="13">
        <v>252</v>
      </c>
      <c r="B254" s="39" t="s">
        <v>164</v>
      </c>
      <c r="C254" s="39" t="s">
        <v>31</v>
      </c>
      <c r="D254" s="39" t="s">
        <v>32</v>
      </c>
      <c r="E254" s="6"/>
      <c r="F254" s="7"/>
      <c r="G254" s="14" t="s">
        <v>28</v>
      </c>
      <c r="H254" s="15"/>
      <c r="I254" s="16"/>
      <c r="J254" s="13"/>
      <c r="K254" s="11" t="str">
        <f t="shared" ca="1" si="10"/>
        <v/>
      </c>
      <c r="L254" s="12" t="str">
        <f t="shared" ca="1" si="12"/>
        <v>🟢 مكتملة</v>
      </c>
      <c r="M254" s="39" t="s">
        <v>155</v>
      </c>
      <c r="N254" s="39"/>
      <c r="O254" s="39"/>
      <c r="P254" s="39" t="s">
        <v>24</v>
      </c>
    </row>
    <row r="255" spans="1:16" ht="27.75" hidden="1" customHeight="1" x14ac:dyDescent="0.4">
      <c r="A255" s="5">
        <v>253</v>
      </c>
      <c r="B255" s="40" t="s">
        <v>165</v>
      </c>
      <c r="C255" s="40" t="s">
        <v>31</v>
      </c>
      <c r="D255" s="40" t="s">
        <v>32</v>
      </c>
      <c r="E255" s="6"/>
      <c r="F255" s="7"/>
      <c r="G255" s="14" t="s">
        <v>28</v>
      </c>
      <c r="H255" s="9"/>
      <c r="I255" s="10"/>
      <c r="J255" s="5"/>
      <c r="K255" s="11" t="str">
        <f t="shared" ca="1" si="10"/>
        <v/>
      </c>
      <c r="L255" s="12" t="str">
        <f t="shared" ca="1" si="12"/>
        <v>🟢 مكتملة</v>
      </c>
      <c r="M255" s="40" t="s">
        <v>155</v>
      </c>
      <c r="N255" s="40"/>
      <c r="O255" s="40"/>
      <c r="P255" s="40" t="s">
        <v>24</v>
      </c>
    </row>
    <row r="256" spans="1:16" ht="27.75" hidden="1" customHeight="1" x14ac:dyDescent="0.4">
      <c r="A256" s="5">
        <v>254</v>
      </c>
      <c r="B256" s="39" t="s">
        <v>168</v>
      </c>
      <c r="C256" s="39" t="s">
        <v>31</v>
      </c>
      <c r="D256" s="39" t="s">
        <v>76</v>
      </c>
      <c r="E256" s="6"/>
      <c r="F256" s="7"/>
      <c r="G256" s="14" t="s">
        <v>28</v>
      </c>
      <c r="H256" s="15"/>
      <c r="I256" s="16"/>
      <c r="J256" s="13"/>
      <c r="K256" s="11" t="str">
        <f t="shared" ca="1" si="10"/>
        <v/>
      </c>
      <c r="L256" s="12" t="str">
        <f t="shared" ca="1" si="12"/>
        <v>🟢 مكتملة</v>
      </c>
      <c r="M256" s="39" t="s">
        <v>171</v>
      </c>
      <c r="N256" s="39"/>
      <c r="O256" s="39"/>
      <c r="P256" s="39" t="s">
        <v>24</v>
      </c>
    </row>
    <row r="257" spans="1:16" ht="27.75" hidden="1" customHeight="1" x14ac:dyDescent="0.4">
      <c r="A257" s="13">
        <v>255</v>
      </c>
      <c r="B257" s="40" t="s">
        <v>172</v>
      </c>
      <c r="C257" s="40" t="s">
        <v>38</v>
      </c>
      <c r="D257" s="40" t="s">
        <v>39</v>
      </c>
      <c r="E257" s="6"/>
      <c r="F257" s="7"/>
      <c r="G257" s="8" t="s">
        <v>28</v>
      </c>
      <c r="H257" s="9"/>
      <c r="I257" s="10"/>
      <c r="J257" s="5"/>
      <c r="K257" s="11" t="str">
        <f t="shared" ca="1" si="10"/>
        <v/>
      </c>
      <c r="L257" s="12" t="str">
        <f t="shared" ca="1" si="12"/>
        <v>🟢 مكتملة</v>
      </c>
      <c r="M257" s="40" t="s">
        <v>110</v>
      </c>
      <c r="N257" s="40"/>
      <c r="O257" s="40"/>
      <c r="P257" s="40" t="s">
        <v>24</v>
      </c>
    </row>
    <row r="258" spans="1:16" ht="27.75" hidden="1" customHeight="1" x14ac:dyDescent="0.4">
      <c r="A258" s="13">
        <v>256</v>
      </c>
      <c r="B258" s="39" t="s">
        <v>173</v>
      </c>
      <c r="C258" s="39" t="s">
        <v>55</v>
      </c>
      <c r="D258" s="39" t="s">
        <v>174</v>
      </c>
      <c r="E258" s="6"/>
      <c r="F258" s="7"/>
      <c r="G258" s="8" t="s">
        <v>28</v>
      </c>
      <c r="H258" s="15"/>
      <c r="I258" s="16"/>
      <c r="J258" s="13"/>
      <c r="K258" s="11" t="str">
        <f t="shared" ca="1" si="10"/>
        <v/>
      </c>
      <c r="L258" s="12" t="str">
        <f t="shared" ca="1" si="12"/>
        <v>🟢 مكتملة</v>
      </c>
      <c r="M258" s="39" t="s">
        <v>175</v>
      </c>
      <c r="N258" s="39"/>
      <c r="O258" s="39"/>
      <c r="P258" s="39" t="s">
        <v>24</v>
      </c>
    </row>
    <row r="259" spans="1:16" ht="27.75" hidden="1" customHeight="1" x14ac:dyDescent="0.4">
      <c r="A259" s="5">
        <v>257</v>
      </c>
      <c r="B259" s="39" t="s">
        <v>180</v>
      </c>
      <c r="C259" s="39" t="s">
        <v>42</v>
      </c>
      <c r="D259" s="39" t="s">
        <v>43</v>
      </c>
      <c r="E259" s="6"/>
      <c r="F259" s="7"/>
      <c r="G259" s="14" t="s">
        <v>28</v>
      </c>
      <c r="H259" s="15"/>
      <c r="I259" s="16"/>
      <c r="J259" s="13"/>
      <c r="K259" s="11" t="str">
        <f t="shared" ref="K259:K322" ca="1" si="13">IFERROR(IF(J259="","",IF(G259="مكتملة","✓",J259-TODAY())),"تاريخ غير صحيح")</f>
        <v/>
      </c>
      <c r="L259" s="12" t="str">
        <f t="shared" ca="1" si="12"/>
        <v>🟢 مكتملة</v>
      </c>
      <c r="M259" s="39" t="s">
        <v>183</v>
      </c>
      <c r="N259" s="39"/>
      <c r="O259" s="39"/>
      <c r="P259" s="39" t="s">
        <v>24</v>
      </c>
    </row>
    <row r="260" spans="1:16" ht="27.75" hidden="1" customHeight="1" x14ac:dyDescent="0.4">
      <c r="A260" s="5">
        <v>258</v>
      </c>
      <c r="B260" s="39" t="s">
        <v>190</v>
      </c>
      <c r="C260" s="39" t="s">
        <v>26</v>
      </c>
      <c r="D260" s="39" t="s">
        <v>186</v>
      </c>
      <c r="E260" s="6"/>
      <c r="F260" s="7"/>
      <c r="G260" s="8" t="s">
        <v>28</v>
      </c>
      <c r="H260" s="15"/>
      <c r="I260" s="16"/>
      <c r="J260" s="13"/>
      <c r="K260" s="11" t="str">
        <f t="shared" ca="1" si="13"/>
        <v/>
      </c>
      <c r="L260" s="12" t="str">
        <f t="shared" ca="1" si="12"/>
        <v>🟢 مكتملة</v>
      </c>
      <c r="M260" s="39" t="s">
        <v>191</v>
      </c>
      <c r="N260" s="39"/>
      <c r="O260" s="39"/>
      <c r="P260" s="39" t="s">
        <v>24</v>
      </c>
    </row>
    <row r="261" spans="1:16" ht="27.75" hidden="1" customHeight="1" x14ac:dyDescent="0.4">
      <c r="A261" s="13">
        <v>259</v>
      </c>
      <c r="B261" s="39" t="s">
        <v>244</v>
      </c>
      <c r="C261" s="39" t="s">
        <v>63</v>
      </c>
      <c r="D261" s="39" t="s">
        <v>106</v>
      </c>
      <c r="E261" s="6"/>
      <c r="F261" s="7"/>
      <c r="G261" s="8" t="s">
        <v>28</v>
      </c>
      <c r="H261" s="15"/>
      <c r="I261" s="16"/>
      <c r="J261" s="13"/>
      <c r="K261" s="11" t="str">
        <f t="shared" ca="1" si="13"/>
        <v/>
      </c>
      <c r="L261" s="12" t="str">
        <f t="shared" ca="1" si="12"/>
        <v>🟢 مكتملة</v>
      </c>
      <c r="M261" s="39" t="s">
        <v>110</v>
      </c>
      <c r="N261" s="39"/>
      <c r="O261" s="39"/>
      <c r="P261" s="39" t="s">
        <v>24</v>
      </c>
    </row>
    <row r="262" spans="1:16" ht="27.75" hidden="1" customHeight="1" x14ac:dyDescent="0.4">
      <c r="A262" s="13">
        <v>260</v>
      </c>
      <c r="B262" s="39" t="s">
        <v>276</v>
      </c>
      <c r="C262" s="39" t="s">
        <v>538</v>
      </c>
      <c r="D262" s="39" t="s">
        <v>277</v>
      </c>
      <c r="E262" s="6"/>
      <c r="F262" s="7"/>
      <c r="G262" s="8" t="s">
        <v>28</v>
      </c>
      <c r="H262" s="15"/>
      <c r="I262" s="16"/>
      <c r="J262" s="13"/>
      <c r="K262" s="11" t="str">
        <f t="shared" ca="1" si="13"/>
        <v/>
      </c>
      <c r="L262" s="12" t="str">
        <f t="shared" ca="1" si="12"/>
        <v>🟢 مكتملة</v>
      </c>
      <c r="M262" s="39" t="s">
        <v>278</v>
      </c>
      <c r="N262" s="39"/>
      <c r="O262" s="39"/>
      <c r="P262" s="39" t="s">
        <v>24</v>
      </c>
    </row>
    <row r="263" spans="1:16" ht="27.75" hidden="1" customHeight="1" x14ac:dyDescent="0.4">
      <c r="A263" s="13">
        <v>261</v>
      </c>
      <c r="B263" s="39" t="s">
        <v>303</v>
      </c>
      <c r="C263" s="39" t="s">
        <v>862</v>
      </c>
      <c r="D263" s="39" t="s">
        <v>39</v>
      </c>
      <c r="E263" s="6"/>
      <c r="F263" s="7"/>
      <c r="G263" s="8" t="s">
        <v>28</v>
      </c>
      <c r="H263" s="15"/>
      <c r="I263" s="16"/>
      <c r="J263" s="13"/>
      <c r="K263" s="11" t="str">
        <f t="shared" ca="1" si="13"/>
        <v/>
      </c>
      <c r="L263" s="12" t="str">
        <f t="shared" ca="1" si="12"/>
        <v>🟢 مكتملة</v>
      </c>
      <c r="M263" s="39" t="s">
        <v>304</v>
      </c>
      <c r="N263" s="39"/>
      <c r="O263" s="39"/>
      <c r="P263" s="39" t="s">
        <v>24</v>
      </c>
    </row>
    <row r="264" spans="1:16" ht="27.75" hidden="1" customHeight="1" x14ac:dyDescent="0.4">
      <c r="A264" s="13">
        <v>262</v>
      </c>
      <c r="B264" s="39" t="s">
        <v>330</v>
      </c>
      <c r="C264" s="39"/>
      <c r="D264" s="39" t="s">
        <v>277</v>
      </c>
      <c r="E264" s="6"/>
      <c r="F264" s="7"/>
      <c r="G264" s="14" t="s">
        <v>28</v>
      </c>
      <c r="H264" s="15"/>
      <c r="I264" s="16"/>
      <c r="J264" s="13"/>
      <c r="K264" s="11" t="str">
        <f t="shared" ca="1" si="13"/>
        <v/>
      </c>
      <c r="L264" s="12" t="str">
        <f t="shared" ca="1" si="12"/>
        <v>🟢 مكتملة</v>
      </c>
      <c r="M264" s="39" t="s">
        <v>332</v>
      </c>
      <c r="N264" s="39"/>
      <c r="O264" s="39"/>
      <c r="P264" s="39" t="s">
        <v>24</v>
      </c>
    </row>
    <row r="265" spans="1:16" ht="27.75" hidden="1" customHeight="1" x14ac:dyDescent="0.4">
      <c r="A265" s="5">
        <v>263</v>
      </c>
      <c r="B265" s="40" t="s">
        <v>339</v>
      </c>
      <c r="C265" s="40" t="s">
        <v>42</v>
      </c>
      <c r="D265" s="40" t="s">
        <v>43</v>
      </c>
      <c r="E265" s="6"/>
      <c r="F265" s="7"/>
      <c r="G265" s="14" t="s">
        <v>28</v>
      </c>
      <c r="H265" s="9"/>
      <c r="I265" s="10"/>
      <c r="J265" s="5"/>
      <c r="K265" s="11" t="str">
        <f t="shared" ca="1" si="13"/>
        <v/>
      </c>
      <c r="L265" s="12" t="str">
        <f t="shared" ca="1" si="12"/>
        <v>🟢 مكتملة</v>
      </c>
      <c r="M265" s="40" t="s">
        <v>342</v>
      </c>
      <c r="N265" s="40"/>
      <c r="O265" s="40"/>
      <c r="P265" s="40" t="s">
        <v>24</v>
      </c>
    </row>
    <row r="266" spans="1:16" ht="27.75" hidden="1" customHeight="1" x14ac:dyDescent="0.4">
      <c r="A266" s="5">
        <v>264</v>
      </c>
      <c r="B266" s="39" t="s">
        <v>354</v>
      </c>
      <c r="C266" s="39" t="s">
        <v>55</v>
      </c>
      <c r="D266" s="39" t="s">
        <v>313</v>
      </c>
      <c r="E266" s="6"/>
      <c r="F266" s="7"/>
      <c r="G266" s="14" t="s">
        <v>28</v>
      </c>
      <c r="H266" s="15"/>
      <c r="I266" s="16"/>
      <c r="J266" s="13"/>
      <c r="K266" s="11" t="str">
        <f t="shared" ca="1" si="13"/>
        <v/>
      </c>
      <c r="L266" s="12" t="str">
        <f t="shared" ref="L266:L297" ca="1" si="14">IF(G266="مكتملة","🟢 مكتملة",IF(G266="لم تبدأ","⚪ لم تبدأ",IF(J266&lt;TODAY(),"🔴 متأخرة",IF(AND(I266&lt;&gt;"",J266&lt;&gt;"",H266&lt;&gt;"",((TODAY()-I266)/(J266-I266)-H266)&gt;0.3),"🟡 تحتاج متابعة","🟢 في المسار"))))</f>
        <v>🟢 مكتملة</v>
      </c>
      <c r="M266" s="39" t="s">
        <v>356</v>
      </c>
      <c r="N266" s="39"/>
      <c r="O266" s="39"/>
      <c r="P266" s="39" t="s">
        <v>24</v>
      </c>
    </row>
    <row r="267" spans="1:16" ht="27.75" hidden="1" customHeight="1" x14ac:dyDescent="0.4">
      <c r="A267" s="13">
        <v>265</v>
      </c>
      <c r="B267" s="40" t="s">
        <v>360</v>
      </c>
      <c r="C267" s="40" t="s">
        <v>55</v>
      </c>
      <c r="D267" s="40" t="s">
        <v>313</v>
      </c>
      <c r="E267" s="6"/>
      <c r="F267" s="7"/>
      <c r="G267" s="14" t="s">
        <v>28</v>
      </c>
      <c r="H267" s="9"/>
      <c r="I267" s="10"/>
      <c r="J267" s="5"/>
      <c r="K267" s="11" t="str">
        <f t="shared" ca="1" si="13"/>
        <v/>
      </c>
      <c r="L267" s="12" t="str">
        <f t="shared" ca="1" si="14"/>
        <v>🟢 مكتملة</v>
      </c>
      <c r="M267" s="40" t="s">
        <v>362</v>
      </c>
      <c r="N267" s="40"/>
      <c r="O267" s="40"/>
      <c r="P267" s="40" t="s">
        <v>24</v>
      </c>
    </row>
    <row r="268" spans="1:16" ht="27.75" hidden="1" customHeight="1" x14ac:dyDescent="0.4">
      <c r="A268" s="13">
        <v>266</v>
      </c>
      <c r="B268" s="39" t="s">
        <v>380</v>
      </c>
      <c r="C268" s="39" t="s">
        <v>538</v>
      </c>
      <c r="D268" s="39" t="s">
        <v>277</v>
      </c>
      <c r="E268" s="6"/>
      <c r="F268" s="7"/>
      <c r="G268" s="14" t="s">
        <v>28</v>
      </c>
      <c r="H268" s="15"/>
      <c r="I268" s="16"/>
      <c r="J268" s="13"/>
      <c r="K268" s="11" t="str">
        <f t="shared" ca="1" si="13"/>
        <v/>
      </c>
      <c r="L268" s="12" t="str">
        <f t="shared" ca="1" si="14"/>
        <v>🟢 مكتملة</v>
      </c>
      <c r="M268" s="39" t="s">
        <v>381</v>
      </c>
      <c r="N268" s="39"/>
      <c r="O268" s="39"/>
      <c r="P268" s="39" t="s">
        <v>24</v>
      </c>
    </row>
    <row r="269" spans="1:16" ht="27.75" hidden="1" customHeight="1" x14ac:dyDescent="0.4">
      <c r="A269" s="5">
        <v>267</v>
      </c>
      <c r="B269" s="39" t="s">
        <v>389</v>
      </c>
      <c r="C269" s="39" t="s">
        <v>31</v>
      </c>
      <c r="D269" s="39" t="s">
        <v>76</v>
      </c>
      <c r="E269" s="6"/>
      <c r="F269" s="7"/>
      <c r="G269" s="14" t="s">
        <v>28</v>
      </c>
      <c r="H269" s="15"/>
      <c r="I269" s="16"/>
      <c r="J269" s="13"/>
      <c r="K269" s="11" t="str">
        <f t="shared" ca="1" si="13"/>
        <v/>
      </c>
      <c r="L269" s="12" t="str">
        <f t="shared" ca="1" si="14"/>
        <v>🟢 مكتملة</v>
      </c>
      <c r="M269" s="39" t="s">
        <v>390</v>
      </c>
      <c r="N269" s="39"/>
      <c r="O269" s="39"/>
      <c r="P269" s="39" t="s">
        <v>24</v>
      </c>
    </row>
    <row r="270" spans="1:16" ht="27.75" hidden="1" customHeight="1" x14ac:dyDescent="0.4">
      <c r="A270" s="5">
        <v>268</v>
      </c>
      <c r="B270" s="40" t="s">
        <v>421</v>
      </c>
      <c r="C270" s="40" t="s">
        <v>42</v>
      </c>
      <c r="D270" s="40" t="s">
        <v>43</v>
      </c>
      <c r="E270" s="6"/>
      <c r="F270" s="7"/>
      <c r="G270" s="14" t="s">
        <v>28</v>
      </c>
      <c r="H270" s="9"/>
      <c r="I270" s="10"/>
      <c r="J270" s="5"/>
      <c r="K270" s="11" t="str">
        <f t="shared" ca="1" si="13"/>
        <v/>
      </c>
      <c r="L270" s="12" t="str">
        <f t="shared" ca="1" si="14"/>
        <v>🟢 مكتملة</v>
      </c>
      <c r="M270" s="40" t="s">
        <v>422</v>
      </c>
      <c r="N270" s="40"/>
      <c r="O270" s="40"/>
      <c r="P270" s="40" t="s">
        <v>24</v>
      </c>
    </row>
    <row r="271" spans="1:16" ht="27.75" hidden="1" customHeight="1" x14ac:dyDescent="0.4">
      <c r="A271" s="13">
        <v>269</v>
      </c>
      <c r="B271" s="40" t="s">
        <v>426</v>
      </c>
      <c r="C271" s="40" t="s">
        <v>31</v>
      </c>
      <c r="D271" s="40" t="s">
        <v>76</v>
      </c>
      <c r="E271" s="6"/>
      <c r="F271" s="7"/>
      <c r="G271" s="41" t="s">
        <v>28</v>
      </c>
      <c r="H271" s="9"/>
      <c r="I271" s="10"/>
      <c r="J271" s="5"/>
      <c r="K271" s="11" t="str">
        <f t="shared" ca="1" si="13"/>
        <v/>
      </c>
      <c r="L271" s="12" t="str">
        <f t="shared" ca="1" si="14"/>
        <v>🟢 مكتملة</v>
      </c>
      <c r="M271" s="40" t="s">
        <v>427</v>
      </c>
      <c r="N271" s="40"/>
      <c r="O271" s="40"/>
      <c r="P271" s="40" t="s">
        <v>24</v>
      </c>
    </row>
    <row r="272" spans="1:16" ht="27.75" hidden="1" customHeight="1" x14ac:dyDescent="0.4">
      <c r="A272" s="13">
        <v>270</v>
      </c>
      <c r="B272" s="40" t="s">
        <v>433</v>
      </c>
      <c r="C272" s="40" t="s">
        <v>538</v>
      </c>
      <c r="D272" s="40" t="s">
        <v>277</v>
      </c>
      <c r="E272" s="6"/>
      <c r="F272" s="7"/>
      <c r="G272" s="41" t="s">
        <v>28</v>
      </c>
      <c r="H272" s="9"/>
      <c r="I272" s="10"/>
      <c r="J272" s="5"/>
      <c r="K272" s="11" t="str">
        <f t="shared" ca="1" si="13"/>
        <v/>
      </c>
      <c r="L272" s="12" t="str">
        <f t="shared" ca="1" si="14"/>
        <v>🟢 مكتملة</v>
      </c>
      <c r="M272" s="40" t="s">
        <v>434</v>
      </c>
      <c r="N272" s="40"/>
      <c r="O272" s="40"/>
      <c r="P272" s="40" t="s">
        <v>24</v>
      </c>
    </row>
    <row r="273" spans="1:16" ht="27.75" hidden="1" customHeight="1" x14ac:dyDescent="0.4">
      <c r="A273" s="13">
        <v>271</v>
      </c>
      <c r="B273" s="40" t="s">
        <v>436</v>
      </c>
      <c r="C273" s="40" t="s">
        <v>538</v>
      </c>
      <c r="D273" s="40" t="s">
        <v>277</v>
      </c>
      <c r="E273" s="6"/>
      <c r="F273" s="7"/>
      <c r="G273" s="41" t="s">
        <v>28</v>
      </c>
      <c r="H273" s="9"/>
      <c r="I273" s="10"/>
      <c r="J273" s="5"/>
      <c r="K273" s="11" t="str">
        <f t="shared" ca="1" si="13"/>
        <v/>
      </c>
      <c r="L273" s="12" t="str">
        <f t="shared" ca="1" si="14"/>
        <v>🟢 مكتملة</v>
      </c>
      <c r="M273" s="40"/>
      <c r="N273" s="40"/>
      <c r="O273" s="40"/>
      <c r="P273" s="40" t="s">
        <v>24</v>
      </c>
    </row>
    <row r="274" spans="1:16" ht="27.75" hidden="1" customHeight="1" x14ac:dyDescent="0.4">
      <c r="A274" s="13">
        <v>272</v>
      </c>
      <c r="B274" s="39" t="s">
        <v>489</v>
      </c>
      <c r="C274" s="39" t="s">
        <v>31</v>
      </c>
      <c r="D274" s="39" t="s">
        <v>76</v>
      </c>
      <c r="E274" s="6"/>
      <c r="F274" s="7"/>
      <c r="G274" s="8" t="s">
        <v>28</v>
      </c>
      <c r="H274" s="15"/>
      <c r="I274" s="16"/>
      <c r="J274" s="13"/>
      <c r="K274" s="11" t="str">
        <f t="shared" ca="1" si="13"/>
        <v/>
      </c>
      <c r="L274" s="12" t="str">
        <f t="shared" ca="1" si="14"/>
        <v>🟢 مكتملة</v>
      </c>
      <c r="M274" s="39" t="s">
        <v>490</v>
      </c>
      <c r="N274" s="39"/>
      <c r="O274" s="39"/>
      <c r="P274" s="39" t="s">
        <v>24</v>
      </c>
    </row>
    <row r="275" spans="1:16" ht="27.75" hidden="1" customHeight="1" x14ac:dyDescent="0.4">
      <c r="A275" s="5">
        <v>273</v>
      </c>
      <c r="B275" s="39" t="s">
        <v>527</v>
      </c>
      <c r="C275" s="39" t="s">
        <v>31</v>
      </c>
      <c r="D275" s="39" t="s">
        <v>174</v>
      </c>
      <c r="E275" s="6"/>
      <c r="F275" s="7"/>
      <c r="G275" s="8" t="s">
        <v>28</v>
      </c>
      <c r="H275" s="15"/>
      <c r="I275" s="16"/>
      <c r="J275" s="13"/>
      <c r="K275" s="11" t="str">
        <f t="shared" ca="1" si="13"/>
        <v/>
      </c>
      <c r="L275" s="12" t="str">
        <f t="shared" ca="1" si="14"/>
        <v>🟢 مكتملة</v>
      </c>
      <c r="M275" s="39" t="s">
        <v>528</v>
      </c>
      <c r="N275" s="39"/>
      <c r="O275" s="39"/>
      <c r="P275" s="39" t="s">
        <v>24</v>
      </c>
    </row>
    <row r="276" spans="1:16" ht="27.75" hidden="1" customHeight="1" x14ac:dyDescent="0.4">
      <c r="A276" s="5">
        <v>274</v>
      </c>
      <c r="B276" s="40" t="s">
        <v>557</v>
      </c>
      <c r="C276" s="40" t="s">
        <v>26</v>
      </c>
      <c r="D276" s="40" t="s">
        <v>27</v>
      </c>
      <c r="E276" s="6"/>
      <c r="F276" s="7"/>
      <c r="G276" s="41" t="s">
        <v>28</v>
      </c>
      <c r="H276" s="9"/>
      <c r="I276" s="10"/>
      <c r="J276" s="5"/>
      <c r="K276" s="11" t="str">
        <f t="shared" ca="1" si="13"/>
        <v/>
      </c>
      <c r="L276" s="12" t="str">
        <f t="shared" ca="1" si="14"/>
        <v>🟢 مكتملة</v>
      </c>
      <c r="M276" s="40"/>
      <c r="N276" s="40"/>
      <c r="O276" s="40"/>
      <c r="P276" s="40" t="s">
        <v>24</v>
      </c>
    </row>
    <row r="277" spans="1:16" ht="27.75" hidden="1" customHeight="1" x14ac:dyDescent="0.4">
      <c r="A277" s="13">
        <v>275</v>
      </c>
      <c r="B277" s="40" t="s">
        <v>569</v>
      </c>
      <c r="C277" s="40" t="s">
        <v>538</v>
      </c>
      <c r="D277" s="40" t="s">
        <v>277</v>
      </c>
      <c r="E277" s="6"/>
      <c r="F277" s="7"/>
      <c r="G277" s="41" t="s">
        <v>28</v>
      </c>
      <c r="H277" s="9"/>
      <c r="I277" s="10"/>
      <c r="J277" s="5"/>
      <c r="K277" s="11" t="str">
        <f t="shared" ca="1" si="13"/>
        <v/>
      </c>
      <c r="L277" s="12" t="str">
        <f t="shared" ca="1" si="14"/>
        <v>🟢 مكتملة</v>
      </c>
      <c r="M277" s="40" t="s">
        <v>570</v>
      </c>
      <c r="N277" s="40"/>
      <c r="O277" s="40"/>
      <c r="P277" s="40" t="s">
        <v>24</v>
      </c>
    </row>
    <row r="278" spans="1:16" ht="27.75" hidden="1" customHeight="1" x14ac:dyDescent="0.4">
      <c r="A278" s="13">
        <v>276</v>
      </c>
      <c r="B278" s="40" t="s">
        <v>576</v>
      </c>
      <c r="C278" s="40" t="s">
        <v>55</v>
      </c>
      <c r="D278" s="40" t="s">
        <v>313</v>
      </c>
      <c r="E278" s="6"/>
      <c r="F278" s="7"/>
      <c r="G278" s="41" t="s">
        <v>28</v>
      </c>
      <c r="H278" s="9"/>
      <c r="I278" s="10"/>
      <c r="J278" s="5"/>
      <c r="K278" s="11" t="str">
        <f t="shared" ca="1" si="13"/>
        <v/>
      </c>
      <c r="L278" s="12" t="str">
        <f t="shared" ca="1" si="14"/>
        <v>🟢 مكتملة</v>
      </c>
      <c r="M278" s="40" t="s">
        <v>580</v>
      </c>
      <c r="N278" s="40"/>
      <c r="O278" s="40"/>
      <c r="P278" s="40" t="s">
        <v>24</v>
      </c>
    </row>
    <row r="279" spans="1:16" ht="27.75" hidden="1" customHeight="1" x14ac:dyDescent="0.4">
      <c r="A279" s="5">
        <v>277</v>
      </c>
      <c r="B279" s="40" t="s">
        <v>591</v>
      </c>
      <c r="C279" s="40" t="s">
        <v>538</v>
      </c>
      <c r="D279" s="40" t="s">
        <v>277</v>
      </c>
      <c r="E279" s="6"/>
      <c r="F279" s="7"/>
      <c r="G279" s="14" t="s">
        <v>28</v>
      </c>
      <c r="H279" s="9"/>
      <c r="I279" s="10"/>
      <c r="J279" s="5"/>
      <c r="K279" s="11" t="str">
        <f t="shared" ca="1" si="13"/>
        <v/>
      </c>
      <c r="L279" s="12" t="str">
        <f t="shared" ca="1" si="14"/>
        <v>🟢 مكتملة</v>
      </c>
      <c r="M279" s="40" t="s">
        <v>592</v>
      </c>
      <c r="N279" s="40"/>
      <c r="O279" s="40"/>
      <c r="P279" s="40" t="s">
        <v>24</v>
      </c>
    </row>
    <row r="280" spans="1:16" ht="27.75" hidden="1" customHeight="1" x14ac:dyDescent="0.4">
      <c r="A280" s="5">
        <v>278</v>
      </c>
      <c r="B280" s="40" t="s">
        <v>619</v>
      </c>
      <c r="C280" s="40" t="s">
        <v>862</v>
      </c>
      <c r="D280" s="40" t="s">
        <v>39</v>
      </c>
      <c r="E280" s="6"/>
      <c r="F280" s="7"/>
      <c r="G280" s="14" t="s">
        <v>28</v>
      </c>
      <c r="H280" s="9"/>
      <c r="I280" s="10"/>
      <c r="J280" s="5"/>
      <c r="K280" s="11" t="str">
        <f t="shared" ca="1" si="13"/>
        <v/>
      </c>
      <c r="L280" s="12" t="str">
        <f t="shared" ca="1" si="14"/>
        <v>🟢 مكتملة</v>
      </c>
      <c r="M280" s="40" t="s">
        <v>620</v>
      </c>
      <c r="N280" s="40"/>
      <c r="O280" s="40"/>
      <c r="P280" s="40" t="s">
        <v>24</v>
      </c>
    </row>
    <row r="281" spans="1:16" ht="27.75" hidden="1" customHeight="1" x14ac:dyDescent="0.4">
      <c r="A281" s="13">
        <v>279</v>
      </c>
      <c r="B281" s="40" t="s">
        <v>621</v>
      </c>
      <c r="C281" s="40" t="s">
        <v>55</v>
      </c>
      <c r="D281" s="40" t="s">
        <v>313</v>
      </c>
      <c r="E281" s="6"/>
      <c r="F281" s="7"/>
      <c r="G281" s="8" t="s">
        <v>28</v>
      </c>
      <c r="H281" s="9"/>
      <c r="I281" s="10"/>
      <c r="J281" s="5"/>
      <c r="K281" s="11" t="str">
        <f t="shared" ca="1" si="13"/>
        <v/>
      </c>
      <c r="L281" s="12" t="str">
        <f t="shared" ca="1" si="14"/>
        <v>🟢 مكتملة</v>
      </c>
      <c r="M281" s="40" t="s">
        <v>623</v>
      </c>
      <c r="N281" s="40"/>
      <c r="O281" s="40"/>
      <c r="P281" s="40" t="s">
        <v>24</v>
      </c>
    </row>
    <row r="282" spans="1:16" ht="27.75" hidden="1" customHeight="1" x14ac:dyDescent="0.4">
      <c r="A282" s="13">
        <v>280</v>
      </c>
      <c r="B282" s="39" t="s">
        <v>653</v>
      </c>
      <c r="C282" s="39" t="s">
        <v>63</v>
      </c>
      <c r="D282" s="39" t="s">
        <v>64</v>
      </c>
      <c r="E282" s="6"/>
      <c r="F282" s="7"/>
      <c r="G282" s="8" t="s">
        <v>28</v>
      </c>
      <c r="H282" s="15"/>
      <c r="I282" s="16"/>
      <c r="J282" s="13"/>
      <c r="K282" s="11" t="str">
        <f t="shared" ca="1" si="13"/>
        <v/>
      </c>
      <c r="L282" s="12" t="str">
        <f t="shared" ca="1" si="14"/>
        <v>🟢 مكتملة</v>
      </c>
      <c r="M282" s="39" t="s">
        <v>654</v>
      </c>
      <c r="N282" s="39"/>
      <c r="O282" s="39"/>
      <c r="P282" s="39" t="s">
        <v>24</v>
      </c>
    </row>
    <row r="283" spans="1:16" ht="27.75" hidden="1" customHeight="1" x14ac:dyDescent="0.4">
      <c r="A283" s="13">
        <v>281</v>
      </c>
      <c r="B283" s="40" t="s">
        <v>663</v>
      </c>
      <c r="C283" s="40" t="s">
        <v>31</v>
      </c>
      <c r="D283" s="40" t="s">
        <v>76</v>
      </c>
      <c r="E283" s="6"/>
      <c r="F283" s="7"/>
      <c r="G283" s="8" t="s">
        <v>28</v>
      </c>
      <c r="H283" s="9"/>
      <c r="I283" s="10"/>
      <c r="J283" s="5"/>
      <c r="K283" s="11" t="str">
        <f t="shared" ca="1" si="13"/>
        <v/>
      </c>
      <c r="L283" s="12" t="str">
        <f t="shared" ca="1" si="14"/>
        <v>🟢 مكتملة</v>
      </c>
      <c r="M283" s="40" t="s">
        <v>667</v>
      </c>
      <c r="N283" s="40"/>
      <c r="O283" s="40"/>
      <c r="P283" s="40" t="s">
        <v>24</v>
      </c>
    </row>
    <row r="284" spans="1:16" ht="27.75" hidden="1" customHeight="1" x14ac:dyDescent="0.4">
      <c r="A284" s="13">
        <v>282</v>
      </c>
      <c r="B284" s="39" t="s">
        <v>675</v>
      </c>
      <c r="C284" s="39" t="s">
        <v>42</v>
      </c>
      <c r="D284" s="39" t="s">
        <v>43</v>
      </c>
      <c r="E284" s="6"/>
      <c r="F284" s="7"/>
      <c r="G284" s="8" t="s">
        <v>28</v>
      </c>
      <c r="H284" s="15"/>
      <c r="I284" s="16"/>
      <c r="J284" s="13"/>
      <c r="K284" s="11" t="str">
        <f t="shared" ca="1" si="13"/>
        <v/>
      </c>
      <c r="L284" s="12" t="str">
        <f t="shared" ca="1" si="14"/>
        <v>🟢 مكتملة</v>
      </c>
      <c r="M284" s="39" t="s">
        <v>678</v>
      </c>
      <c r="N284" s="39"/>
      <c r="O284" s="39"/>
      <c r="P284" s="39" t="s">
        <v>24</v>
      </c>
    </row>
    <row r="285" spans="1:16" ht="27.75" hidden="1" customHeight="1" x14ac:dyDescent="0.4">
      <c r="A285" s="5">
        <v>283</v>
      </c>
      <c r="B285" s="39" t="s">
        <v>707</v>
      </c>
      <c r="C285" s="39" t="s">
        <v>26</v>
      </c>
      <c r="D285" s="39" t="s">
        <v>263</v>
      </c>
      <c r="E285" s="6"/>
      <c r="F285" s="7"/>
      <c r="G285" s="8" t="s">
        <v>28</v>
      </c>
      <c r="H285" s="15"/>
      <c r="I285" s="16"/>
      <c r="J285" s="13"/>
      <c r="K285" s="11" t="str">
        <f t="shared" ca="1" si="13"/>
        <v/>
      </c>
      <c r="L285" s="12" t="str">
        <f t="shared" ca="1" si="14"/>
        <v>🟢 مكتملة</v>
      </c>
      <c r="M285" s="39" t="s">
        <v>708</v>
      </c>
      <c r="N285" s="39"/>
      <c r="O285" s="39"/>
      <c r="P285" s="39" t="s">
        <v>24</v>
      </c>
    </row>
    <row r="286" spans="1:16" ht="27.75" hidden="1" customHeight="1" x14ac:dyDescent="0.4">
      <c r="A286" s="5">
        <v>284</v>
      </c>
      <c r="B286" s="39" t="s">
        <v>718</v>
      </c>
      <c r="C286" s="39" t="s">
        <v>55</v>
      </c>
      <c r="D286" s="39" t="s">
        <v>313</v>
      </c>
      <c r="E286" s="6"/>
      <c r="F286" s="7"/>
      <c r="G286" s="8" t="s">
        <v>28</v>
      </c>
      <c r="H286" s="15"/>
      <c r="I286" s="16"/>
      <c r="J286" s="13"/>
      <c r="K286" s="11" t="str">
        <f t="shared" ca="1" si="13"/>
        <v/>
      </c>
      <c r="L286" s="12" t="str">
        <f t="shared" ca="1" si="14"/>
        <v>🟢 مكتملة</v>
      </c>
      <c r="M286" s="39" t="s">
        <v>719</v>
      </c>
      <c r="N286" s="39"/>
      <c r="O286" s="39"/>
      <c r="P286" s="39" t="s">
        <v>24</v>
      </c>
    </row>
    <row r="287" spans="1:16" ht="27.75" hidden="1" customHeight="1" x14ac:dyDescent="0.4">
      <c r="A287" s="13">
        <v>285</v>
      </c>
      <c r="B287" s="40" t="s">
        <v>743</v>
      </c>
      <c r="C287" s="40" t="s">
        <v>55</v>
      </c>
      <c r="D287" s="40" t="s">
        <v>313</v>
      </c>
      <c r="E287" s="6"/>
      <c r="F287" s="7"/>
      <c r="G287" s="14" t="s">
        <v>28</v>
      </c>
      <c r="H287" s="9"/>
      <c r="I287" s="10"/>
      <c r="J287" s="5"/>
      <c r="K287" s="11" t="str">
        <f t="shared" ca="1" si="13"/>
        <v/>
      </c>
      <c r="L287" s="12" t="str">
        <f t="shared" ca="1" si="14"/>
        <v>🟢 مكتملة</v>
      </c>
      <c r="M287" s="40" t="s">
        <v>746</v>
      </c>
      <c r="N287" s="40"/>
      <c r="O287" s="40"/>
      <c r="P287" s="40" t="s">
        <v>24</v>
      </c>
    </row>
    <row r="288" spans="1:16" ht="27.75" hidden="1" customHeight="1" x14ac:dyDescent="0.4">
      <c r="A288" s="13">
        <v>286</v>
      </c>
      <c r="B288" s="39" t="s">
        <v>770</v>
      </c>
      <c r="C288" s="39" t="s">
        <v>862</v>
      </c>
      <c r="D288" s="39" t="s">
        <v>39</v>
      </c>
      <c r="E288" s="6"/>
      <c r="F288" s="7"/>
      <c r="G288" s="8" t="s">
        <v>28</v>
      </c>
      <c r="H288" s="15"/>
      <c r="I288" s="16"/>
      <c r="J288" s="13"/>
      <c r="K288" s="11" t="str">
        <f t="shared" ca="1" si="13"/>
        <v/>
      </c>
      <c r="L288" s="12" t="str">
        <f t="shared" ca="1" si="14"/>
        <v>🟢 مكتملة</v>
      </c>
      <c r="M288" s="39" t="s">
        <v>771</v>
      </c>
      <c r="N288" s="39"/>
      <c r="O288" s="39"/>
      <c r="P288" s="39" t="s">
        <v>24</v>
      </c>
    </row>
    <row r="289" spans="1:16" ht="27.75" hidden="1" customHeight="1" x14ac:dyDescent="0.4">
      <c r="A289" s="5">
        <v>287</v>
      </c>
      <c r="B289" s="39" t="s">
        <v>30</v>
      </c>
      <c r="C289" s="39" t="s">
        <v>31</v>
      </c>
      <c r="D289" s="39" t="s">
        <v>32</v>
      </c>
      <c r="E289" s="6"/>
      <c r="F289" s="7"/>
      <c r="G289" s="8" t="s">
        <v>20</v>
      </c>
      <c r="H289" s="15">
        <v>0.8</v>
      </c>
      <c r="I289" s="16">
        <v>45736</v>
      </c>
      <c r="J289" s="16">
        <v>45777</v>
      </c>
      <c r="K289" s="11">
        <f t="shared" ca="1" si="13"/>
        <v>-337</v>
      </c>
      <c r="L289" s="12" t="str">
        <f t="shared" ca="1" si="14"/>
        <v>🔴 متأخرة</v>
      </c>
      <c r="M289" s="39" t="s">
        <v>33</v>
      </c>
      <c r="N289" s="39" t="s">
        <v>34</v>
      </c>
      <c r="O289" s="39"/>
      <c r="P289" s="39" t="s">
        <v>35</v>
      </c>
    </row>
    <row r="290" spans="1:16" ht="27.75" hidden="1" customHeight="1" x14ac:dyDescent="0.4">
      <c r="A290" s="5">
        <v>288</v>
      </c>
      <c r="B290" s="40" t="s">
        <v>75</v>
      </c>
      <c r="C290" s="40" t="s">
        <v>31</v>
      </c>
      <c r="D290" s="40" t="s">
        <v>76</v>
      </c>
      <c r="E290" s="6"/>
      <c r="F290" s="7"/>
      <c r="G290" s="8" t="s">
        <v>20</v>
      </c>
      <c r="H290" s="9">
        <v>0.5</v>
      </c>
      <c r="I290" s="10"/>
      <c r="J290" s="10">
        <v>45772</v>
      </c>
      <c r="K290" s="11">
        <f t="shared" ca="1" si="13"/>
        <v>-342</v>
      </c>
      <c r="L290" s="12" t="str">
        <f t="shared" ca="1" si="14"/>
        <v>🔴 متأخرة</v>
      </c>
      <c r="M290" s="40"/>
      <c r="N290" s="40" t="s">
        <v>20</v>
      </c>
      <c r="O290" s="40"/>
      <c r="P290" s="40" t="s">
        <v>35</v>
      </c>
    </row>
    <row r="291" spans="1:16" ht="27.75" hidden="1" customHeight="1" x14ac:dyDescent="0.4">
      <c r="A291" s="13">
        <v>289</v>
      </c>
      <c r="B291" s="39" t="s">
        <v>79</v>
      </c>
      <c r="C291" s="39" t="s">
        <v>31</v>
      </c>
      <c r="D291" s="39" t="s">
        <v>76</v>
      </c>
      <c r="E291" s="6"/>
      <c r="F291" s="7"/>
      <c r="G291" s="8" t="s">
        <v>20</v>
      </c>
      <c r="H291" s="15">
        <v>0.8</v>
      </c>
      <c r="I291" s="16">
        <v>45735</v>
      </c>
      <c r="J291" s="16">
        <v>45771</v>
      </c>
      <c r="K291" s="11">
        <f t="shared" ca="1" si="13"/>
        <v>-343</v>
      </c>
      <c r="L291" s="12" t="str">
        <f t="shared" ca="1" si="14"/>
        <v>🔴 متأخرة</v>
      </c>
      <c r="M291" s="39" t="s">
        <v>82</v>
      </c>
      <c r="N291" s="39" t="s">
        <v>83</v>
      </c>
      <c r="O291" s="39"/>
      <c r="P291" s="39" t="s">
        <v>35</v>
      </c>
    </row>
    <row r="292" spans="1:16" ht="27.75" hidden="1" customHeight="1" x14ac:dyDescent="0.4">
      <c r="A292" s="13">
        <v>290</v>
      </c>
      <c r="B292" s="40" t="s">
        <v>84</v>
      </c>
      <c r="C292" s="40" t="s">
        <v>42</v>
      </c>
      <c r="D292" s="40" t="s">
        <v>43</v>
      </c>
      <c r="E292" s="6"/>
      <c r="F292" s="7"/>
      <c r="G292" s="8" t="s">
        <v>20</v>
      </c>
      <c r="H292" s="9">
        <v>0.8</v>
      </c>
      <c r="I292" s="10">
        <v>45757</v>
      </c>
      <c r="J292" s="10">
        <v>45761</v>
      </c>
      <c r="K292" s="11">
        <f t="shared" ca="1" si="13"/>
        <v>-353</v>
      </c>
      <c r="L292" s="12" t="str">
        <f t="shared" ca="1" si="14"/>
        <v>🔴 متأخرة</v>
      </c>
      <c r="M292" s="40" t="s">
        <v>85</v>
      </c>
      <c r="N292" s="40" t="s">
        <v>86</v>
      </c>
      <c r="O292" s="40"/>
      <c r="P292" s="40" t="s">
        <v>35</v>
      </c>
    </row>
    <row r="293" spans="1:16" ht="27.75" hidden="1" customHeight="1" x14ac:dyDescent="0.4">
      <c r="A293" s="13">
        <v>291</v>
      </c>
      <c r="B293" s="39" t="s">
        <v>91</v>
      </c>
      <c r="C293" s="39" t="s">
        <v>38</v>
      </c>
      <c r="D293" s="39" t="s">
        <v>39</v>
      </c>
      <c r="E293" s="6"/>
      <c r="F293" s="7"/>
      <c r="G293" s="8" t="s">
        <v>20</v>
      </c>
      <c r="H293" s="15">
        <v>0.8</v>
      </c>
      <c r="I293" s="16">
        <v>45735</v>
      </c>
      <c r="J293" s="16">
        <v>45777</v>
      </c>
      <c r="K293" s="11">
        <f t="shared" ca="1" si="13"/>
        <v>-337</v>
      </c>
      <c r="L293" s="12" t="str">
        <f t="shared" ca="1" si="14"/>
        <v>🔴 متأخرة</v>
      </c>
      <c r="M293" s="39" t="s">
        <v>92</v>
      </c>
      <c r="N293" s="39" t="s">
        <v>93</v>
      </c>
      <c r="O293" s="39"/>
      <c r="P293" s="39" t="s">
        <v>35</v>
      </c>
    </row>
    <row r="294" spans="1:16" ht="27.75" hidden="1" customHeight="1" x14ac:dyDescent="0.4">
      <c r="A294" s="13">
        <v>292</v>
      </c>
      <c r="B294" s="40" t="s">
        <v>112</v>
      </c>
      <c r="C294" s="40" t="s">
        <v>50</v>
      </c>
      <c r="D294" s="40" t="s">
        <v>113</v>
      </c>
      <c r="E294" s="6"/>
      <c r="F294" s="7"/>
      <c r="G294" s="14" t="s">
        <v>28</v>
      </c>
      <c r="H294" s="9">
        <v>1</v>
      </c>
      <c r="I294" s="10"/>
      <c r="J294" s="10">
        <v>45767</v>
      </c>
      <c r="K294" s="11" t="str">
        <f t="shared" ca="1" si="13"/>
        <v>✓</v>
      </c>
      <c r="L294" s="12" t="str">
        <f t="shared" ca="1" si="14"/>
        <v>🟢 مكتملة</v>
      </c>
      <c r="M294" s="40" t="s">
        <v>114</v>
      </c>
      <c r="N294" s="40" t="s">
        <v>115</v>
      </c>
      <c r="O294" s="40"/>
      <c r="P294" s="40" t="s">
        <v>35</v>
      </c>
    </row>
    <row r="295" spans="1:16" ht="27.75" hidden="1" customHeight="1" x14ac:dyDescent="0.4">
      <c r="A295" s="5">
        <v>293</v>
      </c>
      <c r="B295" s="39" t="s">
        <v>139</v>
      </c>
      <c r="C295" s="39" t="s">
        <v>38</v>
      </c>
      <c r="D295" s="39" t="s">
        <v>39</v>
      </c>
      <c r="E295" s="6"/>
      <c r="F295" s="7"/>
      <c r="G295" s="8" t="s">
        <v>20</v>
      </c>
      <c r="H295" s="15">
        <v>0.5</v>
      </c>
      <c r="I295" s="16"/>
      <c r="J295" s="13"/>
      <c r="K295" s="11" t="str">
        <f t="shared" ca="1" si="13"/>
        <v/>
      </c>
      <c r="L295" s="12" t="str">
        <f t="shared" ca="1" si="14"/>
        <v>🔴 متأخرة</v>
      </c>
      <c r="M295" s="39" t="s">
        <v>140</v>
      </c>
      <c r="N295" s="39" t="s">
        <v>142</v>
      </c>
      <c r="O295" s="39"/>
      <c r="P295" s="39" t="s">
        <v>35</v>
      </c>
    </row>
    <row r="296" spans="1:16" ht="27.75" hidden="1" customHeight="1" x14ac:dyDescent="0.4">
      <c r="A296" s="5">
        <v>294</v>
      </c>
      <c r="B296" s="40" t="s">
        <v>157</v>
      </c>
      <c r="C296" s="40" t="s">
        <v>31</v>
      </c>
      <c r="D296" s="40" t="s">
        <v>76</v>
      </c>
      <c r="E296" s="6"/>
      <c r="F296" s="7"/>
      <c r="G296" s="14" t="s">
        <v>28</v>
      </c>
      <c r="H296" s="9">
        <v>1</v>
      </c>
      <c r="I296" s="10">
        <v>45753</v>
      </c>
      <c r="J296" s="10">
        <v>45757</v>
      </c>
      <c r="K296" s="11" t="str">
        <f t="shared" ca="1" si="13"/>
        <v>✓</v>
      </c>
      <c r="L296" s="12" t="str">
        <f t="shared" ca="1" si="14"/>
        <v>🟢 مكتملة</v>
      </c>
      <c r="M296" s="40" t="s">
        <v>158</v>
      </c>
      <c r="N296" s="40" t="s">
        <v>155</v>
      </c>
      <c r="O296" s="40"/>
      <c r="P296" s="40" t="s">
        <v>35</v>
      </c>
    </row>
    <row r="297" spans="1:16" ht="27.75" hidden="1" customHeight="1" x14ac:dyDescent="0.4">
      <c r="A297" s="13">
        <v>295</v>
      </c>
      <c r="B297" s="39" t="s">
        <v>237</v>
      </c>
      <c r="C297" s="39" t="s">
        <v>42</v>
      </c>
      <c r="D297" s="39" t="s">
        <v>43</v>
      </c>
      <c r="E297" s="6"/>
      <c r="F297" s="7"/>
      <c r="G297" s="14" t="s">
        <v>28</v>
      </c>
      <c r="H297" s="15">
        <v>1</v>
      </c>
      <c r="I297" s="16">
        <v>45741</v>
      </c>
      <c r="J297" s="16">
        <v>45757</v>
      </c>
      <c r="K297" s="11" t="str">
        <f t="shared" ca="1" si="13"/>
        <v>✓</v>
      </c>
      <c r="L297" s="12" t="str">
        <f t="shared" ca="1" si="14"/>
        <v>🟢 مكتملة</v>
      </c>
      <c r="M297" s="39" t="s">
        <v>238</v>
      </c>
      <c r="N297" s="39" t="s">
        <v>95</v>
      </c>
      <c r="O297" s="39"/>
      <c r="P297" s="39" t="s">
        <v>35</v>
      </c>
    </row>
    <row r="298" spans="1:16" ht="27.75" hidden="1" customHeight="1" x14ac:dyDescent="0.4">
      <c r="A298" s="13">
        <v>296</v>
      </c>
      <c r="B298" s="39" t="s">
        <v>260</v>
      </c>
      <c r="C298" s="39" t="s">
        <v>97</v>
      </c>
      <c r="D298" s="39" t="s">
        <v>98</v>
      </c>
      <c r="E298" s="6"/>
      <c r="F298" s="7"/>
      <c r="G298" s="14" t="s">
        <v>28</v>
      </c>
      <c r="H298" s="15">
        <v>1</v>
      </c>
      <c r="I298" s="16">
        <v>45761</v>
      </c>
      <c r="J298" s="16">
        <v>45763</v>
      </c>
      <c r="K298" s="11" t="str">
        <f t="shared" ca="1" si="13"/>
        <v>✓</v>
      </c>
      <c r="L298" s="12" t="str">
        <f t="shared" ref="L298:L322" ca="1" si="15">IF(G298="مكتملة","🟢 مكتملة",IF(G298="لم تبدأ","⚪ لم تبدأ",IF(J298&lt;TODAY(),"🔴 متأخرة",IF(AND(I298&lt;&gt;"",J298&lt;&gt;"",H298&lt;&gt;"",((TODAY()-I298)/(J298-I298)-H298)&gt;0.3),"🟡 تحتاج متابعة","🟢 في المسار"))))</f>
        <v>🟢 مكتملة</v>
      </c>
      <c r="M298" s="39" t="s">
        <v>261</v>
      </c>
      <c r="N298" s="39" t="s">
        <v>262</v>
      </c>
      <c r="O298" s="39"/>
      <c r="P298" s="39" t="s">
        <v>35</v>
      </c>
    </row>
    <row r="299" spans="1:16" ht="27.75" hidden="1" customHeight="1" x14ac:dyDescent="0.4">
      <c r="A299" s="5">
        <v>297</v>
      </c>
      <c r="B299" s="39" t="s">
        <v>287</v>
      </c>
      <c r="C299" s="39" t="s">
        <v>55</v>
      </c>
      <c r="D299" s="39" t="s">
        <v>56</v>
      </c>
      <c r="E299" s="6"/>
      <c r="F299" s="7"/>
      <c r="G299" s="14" t="s">
        <v>28</v>
      </c>
      <c r="H299" s="15">
        <v>1</v>
      </c>
      <c r="I299" s="16">
        <v>45757</v>
      </c>
      <c r="J299" s="16">
        <v>45760</v>
      </c>
      <c r="K299" s="11" t="str">
        <f t="shared" ca="1" si="13"/>
        <v>✓</v>
      </c>
      <c r="L299" s="12" t="str">
        <f t="shared" ca="1" si="15"/>
        <v>🟢 مكتملة</v>
      </c>
      <c r="M299" s="39" t="s">
        <v>288</v>
      </c>
      <c r="N299" s="39" t="s">
        <v>289</v>
      </c>
      <c r="O299" s="39" t="s">
        <v>136</v>
      </c>
      <c r="P299" s="39" t="s">
        <v>35</v>
      </c>
    </row>
    <row r="300" spans="1:16" ht="27.75" hidden="1" customHeight="1" x14ac:dyDescent="0.4">
      <c r="A300" s="5">
        <v>298</v>
      </c>
      <c r="B300" s="40" t="s">
        <v>294</v>
      </c>
      <c r="C300" s="40" t="s">
        <v>26</v>
      </c>
      <c r="D300" s="40" t="s">
        <v>27</v>
      </c>
      <c r="E300" s="6"/>
      <c r="F300" s="7"/>
      <c r="G300" s="5" t="s">
        <v>20</v>
      </c>
      <c r="H300" s="9"/>
      <c r="I300" s="10"/>
      <c r="J300" s="5"/>
      <c r="K300" s="11" t="str">
        <f t="shared" ca="1" si="13"/>
        <v/>
      </c>
      <c r="L300" s="12" t="str">
        <f t="shared" ca="1" si="15"/>
        <v>🔴 متأخرة</v>
      </c>
      <c r="M300" s="40" t="s">
        <v>295</v>
      </c>
      <c r="N300" s="40"/>
      <c r="O300" s="40"/>
      <c r="P300" s="40" t="s">
        <v>35</v>
      </c>
    </row>
    <row r="301" spans="1:16" ht="27.75" hidden="1" customHeight="1" x14ac:dyDescent="0.4">
      <c r="A301" s="13">
        <v>299</v>
      </c>
      <c r="B301" s="39" t="s">
        <v>328</v>
      </c>
      <c r="C301" s="39" t="s">
        <v>38</v>
      </c>
      <c r="D301" s="39" t="s">
        <v>39</v>
      </c>
      <c r="E301" s="6"/>
      <c r="F301" s="7"/>
      <c r="G301" s="14" t="s">
        <v>28</v>
      </c>
      <c r="H301" s="15">
        <v>1</v>
      </c>
      <c r="I301" s="16">
        <v>45735</v>
      </c>
      <c r="J301" s="16">
        <v>45743</v>
      </c>
      <c r="K301" s="11" t="str">
        <f t="shared" ca="1" si="13"/>
        <v>✓</v>
      </c>
      <c r="L301" s="12" t="str">
        <f t="shared" ca="1" si="15"/>
        <v>🟢 مكتملة</v>
      </c>
      <c r="M301" s="39" t="s">
        <v>327</v>
      </c>
      <c r="N301" s="39" t="s">
        <v>329</v>
      </c>
      <c r="O301" s="39"/>
      <c r="P301" s="39" t="s">
        <v>35</v>
      </c>
    </row>
    <row r="302" spans="1:16" ht="27.75" hidden="1" customHeight="1" x14ac:dyDescent="0.4">
      <c r="A302" s="13">
        <v>300</v>
      </c>
      <c r="B302" s="40" t="s">
        <v>337</v>
      </c>
      <c r="C302" s="40" t="s">
        <v>55</v>
      </c>
      <c r="D302" s="40" t="s">
        <v>313</v>
      </c>
      <c r="E302" s="6"/>
      <c r="F302" s="7"/>
      <c r="G302" s="5" t="s">
        <v>28</v>
      </c>
      <c r="H302" s="9"/>
      <c r="I302" s="10"/>
      <c r="J302" s="5"/>
      <c r="K302" s="11" t="str">
        <f t="shared" ca="1" si="13"/>
        <v/>
      </c>
      <c r="L302" s="12" t="str">
        <f t="shared" ca="1" si="15"/>
        <v>🟢 مكتملة</v>
      </c>
      <c r="M302" s="40" t="s">
        <v>338</v>
      </c>
      <c r="N302" s="40"/>
      <c r="O302" s="40"/>
      <c r="P302" s="40" t="s">
        <v>35</v>
      </c>
    </row>
    <row r="303" spans="1:16" ht="27.75" hidden="1" customHeight="1" x14ac:dyDescent="0.4">
      <c r="A303" s="13">
        <v>301</v>
      </c>
      <c r="B303" s="40" t="s">
        <v>439</v>
      </c>
      <c r="C303" s="40" t="s">
        <v>31</v>
      </c>
      <c r="D303" s="40" t="s">
        <v>76</v>
      </c>
      <c r="E303" s="6"/>
      <c r="F303" s="7"/>
      <c r="G303" s="8" t="s">
        <v>20</v>
      </c>
      <c r="H303" s="9">
        <v>1</v>
      </c>
      <c r="I303" s="10">
        <v>45753</v>
      </c>
      <c r="J303" s="10">
        <v>45764</v>
      </c>
      <c r="K303" s="11">
        <f t="shared" ca="1" si="13"/>
        <v>-350</v>
      </c>
      <c r="L303" s="12" t="str">
        <f t="shared" ca="1" si="15"/>
        <v>🔴 متأخرة</v>
      </c>
      <c r="M303" s="40" t="s">
        <v>440</v>
      </c>
      <c r="N303" s="40" t="s">
        <v>441</v>
      </c>
      <c r="O303" s="40" t="s">
        <v>442</v>
      </c>
      <c r="P303" s="40" t="s">
        <v>35</v>
      </c>
    </row>
    <row r="304" spans="1:16" ht="27.75" hidden="1" customHeight="1" x14ac:dyDescent="0.4">
      <c r="A304" s="13">
        <v>302</v>
      </c>
      <c r="B304" s="39" t="s">
        <v>443</v>
      </c>
      <c r="C304" s="39" t="s">
        <v>31</v>
      </c>
      <c r="D304" s="39" t="s">
        <v>76</v>
      </c>
      <c r="E304" s="6"/>
      <c r="F304" s="7"/>
      <c r="G304" s="14" t="s">
        <v>28</v>
      </c>
      <c r="H304" s="15">
        <v>1</v>
      </c>
      <c r="I304" s="16"/>
      <c r="J304" s="16">
        <v>45764</v>
      </c>
      <c r="K304" s="11" t="str">
        <f t="shared" ca="1" si="13"/>
        <v>✓</v>
      </c>
      <c r="L304" s="12" t="str">
        <f t="shared" ca="1" si="15"/>
        <v>🟢 مكتملة</v>
      </c>
      <c r="M304" s="39"/>
      <c r="N304" s="39" t="s">
        <v>441</v>
      </c>
      <c r="O304" s="39" t="s">
        <v>444</v>
      </c>
      <c r="P304" s="39" t="s">
        <v>35</v>
      </c>
    </row>
    <row r="305" spans="1:16" ht="27.75" hidden="1" customHeight="1" x14ac:dyDescent="0.4">
      <c r="A305" s="5">
        <v>303</v>
      </c>
      <c r="B305" s="40" t="s">
        <v>451</v>
      </c>
      <c r="C305" s="40" t="s">
        <v>26</v>
      </c>
      <c r="D305" s="40" t="s">
        <v>27</v>
      </c>
      <c r="E305" s="6"/>
      <c r="F305" s="7"/>
      <c r="G305" s="5" t="s">
        <v>28</v>
      </c>
      <c r="H305" s="9"/>
      <c r="I305" s="10"/>
      <c r="J305" s="5"/>
      <c r="K305" s="11" t="str">
        <f t="shared" ca="1" si="13"/>
        <v/>
      </c>
      <c r="L305" s="12" t="str">
        <f t="shared" ca="1" si="15"/>
        <v>🟢 مكتملة</v>
      </c>
      <c r="M305" s="40"/>
      <c r="N305" s="40"/>
      <c r="O305" s="40"/>
      <c r="P305" s="40" t="s">
        <v>35</v>
      </c>
    </row>
    <row r="306" spans="1:16" ht="27.75" hidden="1" customHeight="1" x14ac:dyDescent="0.4">
      <c r="A306" s="5">
        <v>304</v>
      </c>
      <c r="B306" s="39" t="s">
        <v>463</v>
      </c>
      <c r="C306" s="39" t="s">
        <v>26</v>
      </c>
      <c r="D306" s="39" t="s">
        <v>186</v>
      </c>
      <c r="E306" s="6"/>
      <c r="F306" s="7"/>
      <c r="G306" s="8" t="s">
        <v>20</v>
      </c>
      <c r="H306" s="15"/>
      <c r="I306" s="16"/>
      <c r="J306" s="13"/>
      <c r="K306" s="11" t="str">
        <f t="shared" ca="1" si="13"/>
        <v/>
      </c>
      <c r="L306" s="12" t="str">
        <f t="shared" ca="1" si="15"/>
        <v>🔴 متأخرة</v>
      </c>
      <c r="M306" s="39" t="s">
        <v>464</v>
      </c>
      <c r="N306" s="39" t="s">
        <v>20</v>
      </c>
      <c r="O306" s="39"/>
      <c r="P306" s="39" t="s">
        <v>35</v>
      </c>
    </row>
    <row r="307" spans="1:16" ht="27.75" hidden="1" customHeight="1" x14ac:dyDescent="0.4">
      <c r="A307" s="13">
        <v>305</v>
      </c>
      <c r="B307" s="39" t="s">
        <v>471</v>
      </c>
      <c r="C307" s="39" t="s">
        <v>18</v>
      </c>
      <c r="D307" s="39" t="s">
        <v>19</v>
      </c>
      <c r="E307" s="6"/>
      <c r="F307" s="7"/>
      <c r="G307" s="14" t="s">
        <v>28</v>
      </c>
      <c r="H307" s="15">
        <v>1</v>
      </c>
      <c r="I307" s="16">
        <v>45748</v>
      </c>
      <c r="J307" s="16">
        <v>45757</v>
      </c>
      <c r="K307" s="11" t="str">
        <f t="shared" ca="1" si="13"/>
        <v>✓</v>
      </c>
      <c r="L307" s="12" t="str">
        <f t="shared" ca="1" si="15"/>
        <v>🟢 مكتملة</v>
      </c>
      <c r="M307" s="39" t="s">
        <v>472</v>
      </c>
      <c r="N307" s="39" t="s">
        <v>160</v>
      </c>
      <c r="O307" s="39"/>
      <c r="P307" s="39" t="s">
        <v>35</v>
      </c>
    </row>
    <row r="308" spans="1:16" ht="27.75" hidden="1" customHeight="1" x14ac:dyDescent="0.4">
      <c r="A308" s="13">
        <v>306</v>
      </c>
      <c r="B308" s="40" t="s">
        <v>473</v>
      </c>
      <c r="C308" s="40" t="s">
        <v>55</v>
      </c>
      <c r="D308" s="40" t="s">
        <v>56</v>
      </c>
      <c r="E308" s="6"/>
      <c r="F308" s="7"/>
      <c r="G308" s="14" t="s">
        <v>28</v>
      </c>
      <c r="H308" s="9">
        <v>1</v>
      </c>
      <c r="I308" s="10">
        <v>45757</v>
      </c>
      <c r="J308" s="10">
        <v>45764</v>
      </c>
      <c r="K308" s="11" t="str">
        <f t="shared" ca="1" si="13"/>
        <v>✓</v>
      </c>
      <c r="L308" s="12" t="str">
        <f t="shared" ca="1" si="15"/>
        <v>🟢 مكتملة</v>
      </c>
      <c r="M308" s="40" t="s">
        <v>474</v>
      </c>
      <c r="N308" s="40" t="s">
        <v>160</v>
      </c>
      <c r="O308" s="40"/>
      <c r="P308" s="40" t="s">
        <v>35</v>
      </c>
    </row>
    <row r="309" spans="1:16" ht="27.75" hidden="1" customHeight="1" x14ac:dyDescent="0.4">
      <c r="A309" s="5">
        <v>307</v>
      </c>
      <c r="B309" s="39" t="s">
        <v>537</v>
      </c>
      <c r="C309" s="39" t="s">
        <v>538</v>
      </c>
      <c r="D309" s="39" t="s">
        <v>539</v>
      </c>
      <c r="E309" s="6"/>
      <c r="F309" s="7"/>
      <c r="G309" s="14" t="s">
        <v>28</v>
      </c>
      <c r="H309" s="15">
        <v>1</v>
      </c>
      <c r="I309" s="16"/>
      <c r="J309" s="16">
        <v>45768</v>
      </c>
      <c r="K309" s="11" t="str">
        <f t="shared" ca="1" si="13"/>
        <v>✓</v>
      </c>
      <c r="L309" s="12" t="str">
        <f t="shared" ca="1" si="15"/>
        <v>🟢 مكتملة</v>
      </c>
      <c r="M309" s="39"/>
      <c r="N309" s="39"/>
      <c r="O309" s="39"/>
      <c r="P309" s="39" t="s">
        <v>35</v>
      </c>
    </row>
    <row r="310" spans="1:16" ht="27.75" hidden="1" customHeight="1" x14ac:dyDescent="0.4">
      <c r="A310" s="5">
        <v>308</v>
      </c>
      <c r="B310" s="39" t="s">
        <v>566</v>
      </c>
      <c r="C310" s="39" t="s">
        <v>97</v>
      </c>
      <c r="D310" s="39" t="s">
        <v>98</v>
      </c>
      <c r="E310" s="6"/>
      <c r="F310" s="7"/>
      <c r="G310" s="14" t="s">
        <v>28</v>
      </c>
      <c r="H310" s="15">
        <v>1</v>
      </c>
      <c r="I310" s="16">
        <v>45753</v>
      </c>
      <c r="J310" s="16">
        <v>45772</v>
      </c>
      <c r="K310" s="11" t="str">
        <f t="shared" ca="1" si="13"/>
        <v>✓</v>
      </c>
      <c r="L310" s="12" t="str">
        <f t="shared" ca="1" si="15"/>
        <v>🟢 مكتملة</v>
      </c>
      <c r="M310" s="39" t="s">
        <v>567</v>
      </c>
      <c r="N310" s="39" t="s">
        <v>568</v>
      </c>
      <c r="O310" s="39"/>
      <c r="P310" s="39" t="s">
        <v>35</v>
      </c>
    </row>
    <row r="311" spans="1:16" ht="27.75" hidden="1" customHeight="1" x14ac:dyDescent="0.4">
      <c r="A311" s="13">
        <v>309</v>
      </c>
      <c r="B311" s="40" t="s">
        <v>626</v>
      </c>
      <c r="C311" s="40" t="s">
        <v>26</v>
      </c>
      <c r="D311" s="40" t="s">
        <v>27</v>
      </c>
      <c r="E311" s="6"/>
      <c r="F311" s="7"/>
      <c r="G311" s="5" t="s">
        <v>20</v>
      </c>
      <c r="H311" s="9"/>
      <c r="I311" s="10"/>
      <c r="J311" s="10">
        <v>45767</v>
      </c>
      <c r="K311" s="11">
        <f t="shared" ca="1" si="13"/>
        <v>-347</v>
      </c>
      <c r="L311" s="12" t="str">
        <f t="shared" ca="1" si="15"/>
        <v>🔴 متأخرة</v>
      </c>
      <c r="M311" s="40" t="s">
        <v>627</v>
      </c>
      <c r="N311" s="40" t="s">
        <v>628</v>
      </c>
      <c r="O311" s="40"/>
      <c r="P311" s="40" t="s">
        <v>35</v>
      </c>
    </row>
    <row r="312" spans="1:16" ht="27.75" hidden="1" customHeight="1" x14ac:dyDescent="0.4">
      <c r="A312" s="13">
        <v>310</v>
      </c>
      <c r="B312" s="39" t="s">
        <v>636</v>
      </c>
      <c r="C312" s="39" t="s">
        <v>26</v>
      </c>
      <c r="D312" s="39" t="s">
        <v>186</v>
      </c>
      <c r="E312" s="6"/>
      <c r="F312" s="7"/>
      <c r="G312" s="14" t="s">
        <v>28</v>
      </c>
      <c r="H312" s="15">
        <v>1</v>
      </c>
      <c r="I312" s="16"/>
      <c r="J312" s="16">
        <v>45767</v>
      </c>
      <c r="K312" s="11" t="str">
        <f t="shared" ca="1" si="13"/>
        <v>✓</v>
      </c>
      <c r="L312" s="12" t="str">
        <f t="shared" ca="1" si="15"/>
        <v>🟢 مكتملة</v>
      </c>
      <c r="M312" s="39" t="s">
        <v>637</v>
      </c>
      <c r="N312" s="39"/>
      <c r="O312" s="39"/>
      <c r="P312" s="39" t="s">
        <v>35</v>
      </c>
    </row>
    <row r="313" spans="1:16" ht="27.75" hidden="1" customHeight="1" x14ac:dyDescent="0.4">
      <c r="A313" s="13">
        <v>311</v>
      </c>
      <c r="B313" s="40" t="s">
        <v>643</v>
      </c>
      <c r="C313" s="40" t="s">
        <v>26</v>
      </c>
      <c r="D313" s="40" t="s">
        <v>19</v>
      </c>
      <c r="E313" s="6"/>
      <c r="F313" s="7"/>
      <c r="G313" s="14" t="s">
        <v>28</v>
      </c>
      <c r="H313" s="9">
        <v>1</v>
      </c>
      <c r="I313" s="10"/>
      <c r="J313" s="10">
        <v>45767</v>
      </c>
      <c r="K313" s="11" t="str">
        <f t="shared" ca="1" si="13"/>
        <v>✓</v>
      </c>
      <c r="L313" s="12" t="str">
        <f t="shared" ca="1" si="15"/>
        <v>🟢 مكتملة</v>
      </c>
      <c r="M313" s="40" t="s">
        <v>644</v>
      </c>
      <c r="N313" s="40"/>
      <c r="O313" s="40"/>
      <c r="P313" s="40" t="s">
        <v>35</v>
      </c>
    </row>
    <row r="314" spans="1:16" ht="27.75" hidden="1" customHeight="1" x14ac:dyDescent="0.4">
      <c r="A314" s="13">
        <v>312</v>
      </c>
      <c r="B314" s="40" t="s">
        <v>686</v>
      </c>
      <c r="C314" s="40" t="s">
        <v>55</v>
      </c>
      <c r="D314" s="40" t="s">
        <v>56</v>
      </c>
      <c r="E314" s="6"/>
      <c r="F314" s="7"/>
      <c r="G314" s="14" t="s">
        <v>28</v>
      </c>
      <c r="H314" s="9">
        <v>1</v>
      </c>
      <c r="I314" s="10"/>
      <c r="J314" s="5"/>
      <c r="K314" s="11" t="str">
        <f t="shared" ca="1" si="13"/>
        <v/>
      </c>
      <c r="L314" s="12" t="str">
        <f t="shared" ca="1" si="15"/>
        <v>🟢 مكتملة</v>
      </c>
      <c r="M314" s="40" t="s">
        <v>317</v>
      </c>
      <c r="N314" s="40"/>
      <c r="O314" s="40"/>
      <c r="P314" s="40" t="s">
        <v>35</v>
      </c>
    </row>
    <row r="315" spans="1:16" ht="27.75" hidden="1" customHeight="1" x14ac:dyDescent="0.4">
      <c r="A315" s="5">
        <v>313</v>
      </c>
      <c r="B315" s="39" t="s">
        <v>693</v>
      </c>
      <c r="C315" s="39" t="s">
        <v>31</v>
      </c>
      <c r="D315" s="39" t="s">
        <v>76</v>
      </c>
      <c r="E315" s="6"/>
      <c r="F315" s="7"/>
      <c r="G315" s="14" t="s">
        <v>28</v>
      </c>
      <c r="H315" s="15">
        <v>1</v>
      </c>
      <c r="I315" s="16">
        <v>45721</v>
      </c>
      <c r="J315" s="16">
        <v>45777</v>
      </c>
      <c r="K315" s="11" t="str">
        <f t="shared" ca="1" si="13"/>
        <v>✓</v>
      </c>
      <c r="L315" s="12" t="str">
        <f t="shared" ca="1" si="15"/>
        <v>🟢 مكتملة</v>
      </c>
      <c r="M315" s="39"/>
      <c r="N315" s="39" t="s">
        <v>44</v>
      </c>
      <c r="O315" s="39"/>
      <c r="P315" s="39" t="s">
        <v>35</v>
      </c>
    </row>
    <row r="316" spans="1:16" ht="27.75" hidden="1" customHeight="1" x14ac:dyDescent="0.4">
      <c r="A316" s="5">
        <v>314</v>
      </c>
      <c r="B316" s="39" t="s">
        <v>694</v>
      </c>
      <c r="C316" s="39" t="s">
        <v>97</v>
      </c>
      <c r="D316" s="39" t="s">
        <v>98</v>
      </c>
      <c r="E316" s="6"/>
      <c r="F316" s="7"/>
      <c r="G316" s="14" t="s">
        <v>28</v>
      </c>
      <c r="H316" s="15">
        <v>1</v>
      </c>
      <c r="I316" s="16">
        <v>45753</v>
      </c>
      <c r="J316" s="16">
        <v>45757</v>
      </c>
      <c r="K316" s="11" t="str">
        <f t="shared" ca="1" si="13"/>
        <v>✓</v>
      </c>
      <c r="L316" s="12" t="str">
        <f t="shared" ca="1" si="15"/>
        <v>🟢 مكتملة</v>
      </c>
      <c r="M316" s="39" t="s">
        <v>697</v>
      </c>
      <c r="N316" s="39" t="s">
        <v>698</v>
      </c>
      <c r="O316" s="39"/>
      <c r="P316" s="39" t="s">
        <v>35</v>
      </c>
    </row>
    <row r="317" spans="1:16" ht="27.75" hidden="1" customHeight="1" x14ac:dyDescent="0.4">
      <c r="A317" s="13">
        <v>315</v>
      </c>
      <c r="B317" s="40" t="s">
        <v>726</v>
      </c>
      <c r="C317" s="40" t="s">
        <v>55</v>
      </c>
      <c r="D317" s="40" t="s">
        <v>313</v>
      </c>
      <c r="E317" s="6"/>
      <c r="F317" s="7"/>
      <c r="G317" s="5" t="s">
        <v>20</v>
      </c>
      <c r="H317" s="9"/>
      <c r="I317" s="10"/>
      <c r="J317" s="5"/>
      <c r="K317" s="11" t="str">
        <f t="shared" ca="1" si="13"/>
        <v/>
      </c>
      <c r="L317" s="12" t="str">
        <f t="shared" ca="1" si="15"/>
        <v>🔴 متأخرة</v>
      </c>
      <c r="M317" s="40" t="s">
        <v>727</v>
      </c>
      <c r="N317" s="40"/>
      <c r="O317" s="40"/>
      <c r="P317" s="40" t="s">
        <v>35</v>
      </c>
    </row>
    <row r="318" spans="1:16" ht="27.75" hidden="1" customHeight="1" x14ac:dyDescent="0.4">
      <c r="A318" s="13">
        <v>316</v>
      </c>
      <c r="B318" s="40" t="s">
        <v>738</v>
      </c>
      <c r="C318" s="40" t="s">
        <v>31</v>
      </c>
      <c r="D318" s="40" t="s">
        <v>76</v>
      </c>
      <c r="E318" s="6"/>
      <c r="F318" s="7"/>
      <c r="G318" s="14" t="s">
        <v>28</v>
      </c>
      <c r="H318" s="9">
        <v>1</v>
      </c>
      <c r="I318" s="10"/>
      <c r="J318" s="5"/>
      <c r="K318" s="11" t="str">
        <f t="shared" ca="1" si="13"/>
        <v/>
      </c>
      <c r="L318" s="12" t="str">
        <f t="shared" ca="1" si="15"/>
        <v>🟢 مكتملة</v>
      </c>
      <c r="M318" s="40" t="s">
        <v>739</v>
      </c>
      <c r="N318" s="40" t="s">
        <v>740</v>
      </c>
      <c r="O318" s="40"/>
      <c r="P318" s="40" t="s">
        <v>35</v>
      </c>
    </row>
    <row r="319" spans="1:16" ht="27.75" hidden="1" customHeight="1" x14ac:dyDescent="0.4">
      <c r="A319" s="5">
        <v>317</v>
      </c>
      <c r="B319" s="39" t="s">
        <v>747</v>
      </c>
      <c r="C319" s="39" t="s">
        <v>55</v>
      </c>
      <c r="D319" s="39" t="s">
        <v>313</v>
      </c>
      <c r="E319" s="6"/>
      <c r="F319" s="7"/>
      <c r="G319" s="13" t="s">
        <v>28</v>
      </c>
      <c r="H319" s="15"/>
      <c r="I319" s="16"/>
      <c r="J319" s="13"/>
      <c r="K319" s="11" t="str">
        <f t="shared" ca="1" si="13"/>
        <v/>
      </c>
      <c r="L319" s="12" t="str">
        <f t="shared" ca="1" si="15"/>
        <v>🟢 مكتملة</v>
      </c>
      <c r="M319" s="39" t="s">
        <v>748</v>
      </c>
      <c r="N319" s="39"/>
      <c r="O319" s="39"/>
      <c r="P319" s="39" t="s">
        <v>35</v>
      </c>
    </row>
    <row r="320" spans="1:16" ht="27.75" hidden="1" customHeight="1" x14ac:dyDescent="0.4">
      <c r="A320" s="5">
        <v>318</v>
      </c>
      <c r="B320" s="40" t="s">
        <v>749</v>
      </c>
      <c r="C320" s="40" t="s">
        <v>55</v>
      </c>
      <c r="D320" s="40" t="s">
        <v>313</v>
      </c>
      <c r="E320" s="6"/>
      <c r="F320" s="7"/>
      <c r="G320" s="5" t="s">
        <v>28</v>
      </c>
      <c r="H320" s="9"/>
      <c r="I320" s="10"/>
      <c r="J320" s="5"/>
      <c r="K320" s="11" t="str">
        <f t="shared" ca="1" si="13"/>
        <v/>
      </c>
      <c r="L320" s="12" t="str">
        <f t="shared" ca="1" si="15"/>
        <v>🟢 مكتملة</v>
      </c>
      <c r="M320" s="40" t="s">
        <v>750</v>
      </c>
      <c r="N320" s="40"/>
      <c r="O320" s="40"/>
      <c r="P320" s="40" t="s">
        <v>35</v>
      </c>
    </row>
    <row r="321" spans="1:16" ht="27.75" hidden="1" customHeight="1" x14ac:dyDescent="0.4">
      <c r="A321" s="13">
        <v>319</v>
      </c>
      <c r="B321" s="39" t="s">
        <v>751</v>
      </c>
      <c r="C321" s="39" t="s">
        <v>55</v>
      </c>
      <c r="D321" s="39" t="s">
        <v>313</v>
      </c>
      <c r="E321" s="6"/>
      <c r="F321" s="7"/>
      <c r="G321" s="13" t="s">
        <v>28</v>
      </c>
      <c r="H321" s="15"/>
      <c r="I321" s="16"/>
      <c r="J321" s="13"/>
      <c r="K321" s="11" t="str">
        <f t="shared" ca="1" si="13"/>
        <v/>
      </c>
      <c r="L321" s="12" t="str">
        <f t="shared" ca="1" si="15"/>
        <v>🟢 مكتملة</v>
      </c>
      <c r="M321" s="39" t="s">
        <v>752</v>
      </c>
      <c r="N321" s="39" t="s">
        <v>753</v>
      </c>
      <c r="O321" s="39"/>
      <c r="P321" s="39" t="s">
        <v>35</v>
      </c>
    </row>
    <row r="322" spans="1:16" ht="27.75" hidden="1" customHeight="1" x14ac:dyDescent="0.4">
      <c r="A322" s="13">
        <v>320</v>
      </c>
      <c r="B322" s="39" t="s">
        <v>760</v>
      </c>
      <c r="C322" s="39" t="s">
        <v>63</v>
      </c>
      <c r="D322" s="39" t="s">
        <v>240</v>
      </c>
      <c r="E322" s="6"/>
      <c r="F322" s="7"/>
      <c r="G322" s="14" t="s">
        <v>28</v>
      </c>
      <c r="H322" s="15">
        <v>1</v>
      </c>
      <c r="I322" s="16">
        <v>45757</v>
      </c>
      <c r="J322" s="16">
        <v>45760</v>
      </c>
      <c r="K322" s="11" t="str">
        <f t="shared" ca="1" si="13"/>
        <v>✓</v>
      </c>
      <c r="L322" s="12" t="str">
        <f t="shared" ca="1" si="15"/>
        <v>🟢 مكتملة</v>
      </c>
      <c r="M322" s="39" t="s">
        <v>761</v>
      </c>
      <c r="N322" s="39" t="s">
        <v>762</v>
      </c>
      <c r="O322" s="39"/>
      <c r="P322" s="39" t="s">
        <v>35</v>
      </c>
    </row>
    <row r="323" spans="1:16" ht="27.75" customHeight="1" x14ac:dyDescent="0.4">
      <c r="A323" s="13">
        <v>321</v>
      </c>
      <c r="B323" s="5" t="s">
        <v>30</v>
      </c>
      <c r="C323" s="5" t="s">
        <v>31</v>
      </c>
      <c r="D323" s="5" t="s">
        <v>32</v>
      </c>
      <c r="E323" s="6" t="s">
        <v>840</v>
      </c>
      <c r="F323" s="7" t="s">
        <v>841</v>
      </c>
      <c r="G323" s="8" t="s">
        <v>20</v>
      </c>
      <c r="H323" s="9">
        <v>0.5</v>
      </c>
      <c r="I323" s="10">
        <v>45736</v>
      </c>
      <c r="J323" s="10">
        <v>45777</v>
      </c>
      <c r="K323" s="11">
        <f t="shared" ref="K323:K386" ca="1" si="16">IFERROR(IF(J323="","",IF(G323="مكتملة","✓",J323-TODAY())),"تاريخ غير صحيح")</f>
        <v>-337</v>
      </c>
      <c r="L323" s="12" t="str">
        <f t="shared" ref="L323:L386" ca="1" si="17">IF(G323="مكتملة","🟢 مكتملة",IF(G323="لم تبدأ","⚪ لم تبدأ",IF(J323&lt;TODAY(),"🔴 متأخرة",IF(AND(I323&lt;&gt;"",J323&lt;&gt;"",H323&lt;&gt;"",((TODAY()-I323)/(J323-I323)-H323)&gt;0.3),"🟡 تحتاج متابعة","🟢 في المسار"))))</f>
        <v>🔴 متأخرة</v>
      </c>
      <c r="M323" s="20" t="s">
        <v>839</v>
      </c>
      <c r="N323" s="5"/>
      <c r="O323" s="5"/>
      <c r="P323" s="5" t="s">
        <v>36</v>
      </c>
    </row>
    <row r="324" spans="1:16" ht="27.75" hidden="1" customHeight="1" x14ac:dyDescent="0.4">
      <c r="A324" s="13">
        <v>322</v>
      </c>
      <c r="B324" s="13" t="s">
        <v>91</v>
      </c>
      <c r="C324" s="13" t="s">
        <v>38</v>
      </c>
      <c r="D324" s="13" t="s">
        <v>39</v>
      </c>
      <c r="E324" s="6"/>
      <c r="F324" s="7"/>
      <c r="G324" s="14" t="s">
        <v>28</v>
      </c>
      <c r="H324" s="15">
        <v>1</v>
      </c>
      <c r="I324" s="16">
        <v>45735</v>
      </c>
      <c r="J324" s="16">
        <v>45777</v>
      </c>
      <c r="K324" s="11" t="str">
        <f t="shared" ca="1" si="16"/>
        <v>✓</v>
      </c>
      <c r="L324" s="12" t="str">
        <f t="shared" ca="1" si="17"/>
        <v>🟢 مكتملة</v>
      </c>
      <c r="M324" s="13" t="s">
        <v>94</v>
      </c>
      <c r="N324" s="13" t="s">
        <v>95</v>
      </c>
      <c r="O324" s="13"/>
      <c r="P324" s="13" t="s">
        <v>36</v>
      </c>
    </row>
    <row r="325" spans="1:16" ht="27.75" hidden="1" customHeight="1" x14ac:dyDescent="0.4">
      <c r="A325" s="5">
        <v>323</v>
      </c>
      <c r="B325" s="5" t="s">
        <v>131</v>
      </c>
      <c r="C325" s="5" t="s">
        <v>42</v>
      </c>
      <c r="D325" s="5" t="s">
        <v>43</v>
      </c>
      <c r="E325" s="6"/>
      <c r="F325" s="7"/>
      <c r="G325" s="14" t="s">
        <v>28</v>
      </c>
      <c r="H325" s="9">
        <v>1</v>
      </c>
      <c r="I325" s="10"/>
      <c r="J325" s="10">
        <v>45778</v>
      </c>
      <c r="K325" s="11" t="str">
        <f t="shared" ca="1" si="16"/>
        <v>✓</v>
      </c>
      <c r="L325" s="12" t="str">
        <f t="shared" ca="1" si="17"/>
        <v>🟢 مكتملة</v>
      </c>
      <c r="M325" s="5" t="s">
        <v>132</v>
      </c>
      <c r="N325" s="5" t="s">
        <v>95</v>
      </c>
      <c r="O325" s="5"/>
      <c r="P325" s="5" t="s">
        <v>36</v>
      </c>
    </row>
    <row r="326" spans="1:16" ht="27.75" hidden="1" customHeight="1" x14ac:dyDescent="0.4">
      <c r="A326" s="5">
        <v>324</v>
      </c>
      <c r="B326" s="13" t="s">
        <v>139</v>
      </c>
      <c r="C326" s="13" t="s">
        <v>38</v>
      </c>
      <c r="D326" s="13" t="s">
        <v>39</v>
      </c>
      <c r="E326" s="6"/>
      <c r="F326" s="7"/>
      <c r="G326" s="14" t="s">
        <v>28</v>
      </c>
      <c r="H326" s="15">
        <v>1</v>
      </c>
      <c r="I326" s="16"/>
      <c r="J326" s="16"/>
      <c r="K326" s="11" t="str">
        <f t="shared" ca="1" si="16"/>
        <v/>
      </c>
      <c r="L326" s="12" t="str">
        <f t="shared" ca="1" si="17"/>
        <v>🟢 مكتملة</v>
      </c>
      <c r="M326" s="13" t="s">
        <v>143</v>
      </c>
      <c r="N326" s="13" t="s">
        <v>95</v>
      </c>
      <c r="O326" s="13"/>
      <c r="P326" s="13" t="s">
        <v>36</v>
      </c>
    </row>
    <row r="327" spans="1:16" ht="27.75" hidden="1" customHeight="1" x14ac:dyDescent="0.4">
      <c r="A327" s="13">
        <v>325</v>
      </c>
      <c r="B327" s="5" t="s">
        <v>84</v>
      </c>
      <c r="C327" s="5" t="s">
        <v>42</v>
      </c>
      <c r="D327" s="5" t="s">
        <v>43</v>
      </c>
      <c r="E327" s="6"/>
      <c r="F327" s="7"/>
      <c r="G327" s="14" t="s">
        <v>28</v>
      </c>
      <c r="H327" s="9">
        <v>1</v>
      </c>
      <c r="I327" s="10">
        <v>45757</v>
      </c>
      <c r="J327" s="10">
        <v>45761</v>
      </c>
      <c r="K327" s="11" t="str">
        <f t="shared" ca="1" si="16"/>
        <v>✓</v>
      </c>
      <c r="L327" s="12" t="str">
        <f t="shared" ca="1" si="17"/>
        <v>🟢 مكتملة</v>
      </c>
      <c r="M327" s="5" t="s">
        <v>85</v>
      </c>
      <c r="N327" s="5" t="s">
        <v>87</v>
      </c>
      <c r="O327" s="5"/>
      <c r="P327" s="5" t="s">
        <v>36</v>
      </c>
    </row>
    <row r="328" spans="1:16" ht="27.75" hidden="1" customHeight="1" x14ac:dyDescent="0.4">
      <c r="A328" s="13">
        <v>326</v>
      </c>
      <c r="B328" s="13" t="s">
        <v>551</v>
      </c>
      <c r="C328" s="13" t="s">
        <v>42</v>
      </c>
      <c r="D328" s="13" t="s">
        <v>43</v>
      </c>
      <c r="E328" s="6"/>
      <c r="F328" s="7"/>
      <c r="G328" s="14" t="s">
        <v>28</v>
      </c>
      <c r="H328" s="15">
        <v>1</v>
      </c>
      <c r="I328" s="16"/>
      <c r="J328" s="16">
        <v>45791</v>
      </c>
      <c r="K328" s="11" t="str">
        <f t="shared" ca="1" si="16"/>
        <v>✓</v>
      </c>
      <c r="L328" s="12" t="str">
        <f t="shared" ca="1" si="17"/>
        <v>🟢 مكتملة</v>
      </c>
      <c r="M328" s="13" t="s">
        <v>552</v>
      </c>
      <c r="N328" s="13" t="s">
        <v>553</v>
      </c>
      <c r="O328" s="13"/>
      <c r="P328" s="13" t="s">
        <v>36</v>
      </c>
    </row>
    <row r="329" spans="1:16" ht="27.75" hidden="1" customHeight="1" x14ac:dyDescent="0.4">
      <c r="A329" s="5">
        <v>327</v>
      </c>
      <c r="B329" s="5" t="s">
        <v>451</v>
      </c>
      <c r="C329" s="5" t="s">
        <v>26</v>
      </c>
      <c r="D329" s="5" t="s">
        <v>27</v>
      </c>
      <c r="E329" s="6"/>
      <c r="F329" s="7"/>
      <c r="G329" s="14" t="s">
        <v>28</v>
      </c>
      <c r="H329" s="9">
        <v>1</v>
      </c>
      <c r="I329" s="10"/>
      <c r="J329" s="10"/>
      <c r="K329" s="11" t="str">
        <f t="shared" ca="1" si="16"/>
        <v/>
      </c>
      <c r="L329" s="12" t="str">
        <f t="shared" ca="1" si="17"/>
        <v>🟢 مكتملة</v>
      </c>
      <c r="M329" s="5" t="s">
        <v>452</v>
      </c>
      <c r="N329" s="5" t="s">
        <v>453</v>
      </c>
      <c r="O329" s="5"/>
      <c r="P329" s="5" t="s">
        <v>36</v>
      </c>
    </row>
    <row r="330" spans="1:16" ht="27.75" customHeight="1" x14ac:dyDescent="0.4">
      <c r="A330" s="5">
        <v>328</v>
      </c>
      <c r="B330" s="13" t="s">
        <v>626</v>
      </c>
      <c r="C330" s="13" t="s">
        <v>26</v>
      </c>
      <c r="D330" s="13" t="s">
        <v>27</v>
      </c>
      <c r="E330" s="6" t="s">
        <v>842</v>
      </c>
      <c r="F330" s="7" t="s">
        <v>843</v>
      </c>
      <c r="G330" s="8" t="s">
        <v>20</v>
      </c>
      <c r="H330" s="15">
        <v>0.5</v>
      </c>
      <c r="I330" s="16"/>
      <c r="J330" s="16">
        <v>46387</v>
      </c>
      <c r="K330" s="11">
        <f t="shared" ca="1" si="16"/>
        <v>273</v>
      </c>
      <c r="L330" s="12" t="str">
        <f t="shared" ca="1" si="17"/>
        <v>🟢 في المسار</v>
      </c>
      <c r="M330" s="21" t="s">
        <v>629</v>
      </c>
      <c r="N330" s="13" t="s">
        <v>630</v>
      </c>
      <c r="O330" s="13"/>
      <c r="P330" s="13" t="s">
        <v>36</v>
      </c>
    </row>
    <row r="331" spans="1:16" ht="27.75" customHeight="1" x14ac:dyDescent="0.4">
      <c r="A331" s="13">
        <v>329</v>
      </c>
      <c r="B331" s="5" t="s">
        <v>294</v>
      </c>
      <c r="C331" s="5" t="s">
        <v>106</v>
      </c>
      <c r="D331" s="5" t="s">
        <v>106</v>
      </c>
      <c r="E331" s="6" t="s">
        <v>842</v>
      </c>
      <c r="F331" s="7" t="s">
        <v>843</v>
      </c>
      <c r="G331" s="8" t="s">
        <v>20</v>
      </c>
      <c r="H331" s="9"/>
      <c r="I331" s="10"/>
      <c r="J331" s="10">
        <v>46387</v>
      </c>
      <c r="K331" s="11">
        <f t="shared" ca="1" si="16"/>
        <v>273</v>
      </c>
      <c r="L331" s="12" t="str">
        <f t="shared" ca="1" si="17"/>
        <v>🟢 في المسار</v>
      </c>
      <c r="M331" s="20"/>
      <c r="N331" s="5" t="s">
        <v>296</v>
      </c>
      <c r="O331" s="5"/>
      <c r="P331" s="5" t="s">
        <v>36</v>
      </c>
    </row>
    <row r="332" spans="1:16" ht="27.75" hidden="1" customHeight="1" x14ac:dyDescent="0.4">
      <c r="A332" s="13">
        <v>330</v>
      </c>
      <c r="B332" s="13" t="s">
        <v>680</v>
      </c>
      <c r="C332" s="13" t="s">
        <v>55</v>
      </c>
      <c r="D332" s="13" t="s">
        <v>313</v>
      </c>
      <c r="E332" s="6"/>
      <c r="F332" s="7"/>
      <c r="G332" s="14" t="s">
        <v>28</v>
      </c>
      <c r="H332" s="15">
        <v>1</v>
      </c>
      <c r="I332" s="16"/>
      <c r="J332" s="16"/>
      <c r="K332" s="11" t="str">
        <f t="shared" ca="1" si="16"/>
        <v/>
      </c>
      <c r="L332" s="12" t="str">
        <f t="shared" ca="1" si="17"/>
        <v>🟢 مكتملة</v>
      </c>
      <c r="M332" s="13" t="s">
        <v>155</v>
      </c>
      <c r="N332" s="13"/>
      <c r="O332" s="13"/>
      <c r="P332" s="13" t="s">
        <v>36</v>
      </c>
    </row>
    <row r="333" spans="1:16" ht="27.75" customHeight="1" x14ac:dyDescent="0.4">
      <c r="A333" s="13">
        <v>331</v>
      </c>
      <c r="B333" s="5" t="s">
        <v>350</v>
      </c>
      <c r="C333" s="5" t="s">
        <v>42</v>
      </c>
      <c r="D333" s="5" t="s">
        <v>43</v>
      </c>
      <c r="E333" s="6" t="s">
        <v>840</v>
      </c>
      <c r="F333" s="7" t="s">
        <v>841</v>
      </c>
      <c r="G333" s="8" t="s">
        <v>20</v>
      </c>
      <c r="H333" s="9">
        <v>1</v>
      </c>
      <c r="I333" s="10"/>
      <c r="J333" s="10">
        <v>46022</v>
      </c>
      <c r="K333" s="11">
        <f t="shared" ca="1" si="16"/>
        <v>-92</v>
      </c>
      <c r="L333" s="12" t="str">
        <f t="shared" ca="1" si="17"/>
        <v>🔴 متأخرة</v>
      </c>
      <c r="M333" s="20" t="s">
        <v>850</v>
      </c>
      <c r="N333" s="5" t="s">
        <v>851</v>
      </c>
      <c r="O333" s="5"/>
      <c r="P333" s="5" t="s">
        <v>36</v>
      </c>
    </row>
    <row r="334" spans="1:16" ht="27.75" hidden="1" customHeight="1" x14ac:dyDescent="0.4">
      <c r="A334" s="13">
        <v>332</v>
      </c>
      <c r="B334" s="13" t="s">
        <v>448</v>
      </c>
      <c r="C334" s="13" t="s">
        <v>31</v>
      </c>
      <c r="D334" s="13" t="s">
        <v>76</v>
      </c>
      <c r="E334" s="6"/>
      <c r="F334" s="7"/>
      <c r="G334" s="14" t="s">
        <v>28</v>
      </c>
      <c r="H334" s="15">
        <v>1</v>
      </c>
      <c r="I334" s="16"/>
      <c r="J334" s="16"/>
      <c r="K334" s="11" t="str">
        <f t="shared" ca="1" si="16"/>
        <v/>
      </c>
      <c r="L334" s="12" t="str">
        <f t="shared" ca="1" si="17"/>
        <v>🟢 مكتملة</v>
      </c>
      <c r="M334" s="13" t="s">
        <v>449</v>
      </c>
      <c r="N334" s="13" t="s">
        <v>450</v>
      </c>
      <c r="O334" s="13"/>
      <c r="P334" s="13" t="s">
        <v>36</v>
      </c>
    </row>
    <row r="335" spans="1:16" ht="27.75" hidden="1" customHeight="1" x14ac:dyDescent="0.4">
      <c r="A335" s="5">
        <v>333</v>
      </c>
      <c r="B335" s="5" t="s">
        <v>137</v>
      </c>
      <c r="C335" s="5" t="s">
        <v>97</v>
      </c>
      <c r="D335" s="5" t="s">
        <v>98</v>
      </c>
      <c r="E335" s="6"/>
      <c r="F335" s="7"/>
      <c r="G335" s="14" t="s">
        <v>28</v>
      </c>
      <c r="H335" s="9">
        <v>1</v>
      </c>
      <c r="I335" s="10"/>
      <c r="J335" s="10"/>
      <c r="K335" s="11" t="str">
        <f t="shared" ca="1" si="16"/>
        <v/>
      </c>
      <c r="L335" s="12" t="str">
        <f t="shared" ca="1" si="17"/>
        <v>🟢 مكتملة</v>
      </c>
      <c r="M335" s="5" t="s">
        <v>138</v>
      </c>
      <c r="N335" s="5"/>
      <c r="O335" s="5"/>
      <c r="P335" s="5" t="s">
        <v>36</v>
      </c>
    </row>
    <row r="336" spans="1:16" ht="27.75" hidden="1" customHeight="1" x14ac:dyDescent="0.4">
      <c r="A336" s="5">
        <v>334</v>
      </c>
      <c r="B336" s="13" t="s">
        <v>741</v>
      </c>
      <c r="C336" s="13" t="s">
        <v>63</v>
      </c>
      <c r="D336" s="13" t="s">
        <v>240</v>
      </c>
      <c r="E336" s="6"/>
      <c r="F336" s="7"/>
      <c r="G336" s="14" t="s">
        <v>28</v>
      </c>
      <c r="H336" s="15">
        <v>1</v>
      </c>
      <c r="I336" s="16"/>
      <c r="J336" s="16">
        <v>45838</v>
      </c>
      <c r="K336" s="11" t="str">
        <f t="shared" ca="1" si="16"/>
        <v>✓</v>
      </c>
      <c r="L336" s="12" t="str">
        <f t="shared" ca="1" si="17"/>
        <v>🟢 مكتملة</v>
      </c>
      <c r="M336" s="13" t="s">
        <v>742</v>
      </c>
      <c r="N336" s="13"/>
      <c r="O336" s="13"/>
      <c r="P336" s="13" t="s">
        <v>36</v>
      </c>
    </row>
    <row r="337" spans="1:16" ht="27.75" hidden="1" customHeight="1" x14ac:dyDescent="0.4">
      <c r="A337" s="13">
        <v>335</v>
      </c>
      <c r="B337" s="5" t="s">
        <v>208</v>
      </c>
      <c r="C337" s="5" t="s">
        <v>38</v>
      </c>
      <c r="D337" s="5" t="s">
        <v>39</v>
      </c>
      <c r="E337" s="6"/>
      <c r="F337" s="7"/>
      <c r="G337" s="14" t="s">
        <v>28</v>
      </c>
      <c r="H337" s="9">
        <v>1</v>
      </c>
      <c r="I337" s="10"/>
      <c r="J337" s="10"/>
      <c r="K337" s="11" t="str">
        <f t="shared" ca="1" si="16"/>
        <v/>
      </c>
      <c r="L337" s="12" t="str">
        <f t="shared" ca="1" si="17"/>
        <v>🟢 مكتملة</v>
      </c>
      <c r="M337" s="5" t="s">
        <v>77</v>
      </c>
      <c r="N337" s="5"/>
      <c r="O337" s="5"/>
      <c r="P337" s="5" t="s">
        <v>36</v>
      </c>
    </row>
    <row r="338" spans="1:16" ht="27.75" hidden="1" customHeight="1" x14ac:dyDescent="0.4">
      <c r="A338" s="13">
        <v>336</v>
      </c>
      <c r="B338" s="13" t="s">
        <v>37</v>
      </c>
      <c r="C338" s="13" t="s">
        <v>38</v>
      </c>
      <c r="D338" s="13" t="s">
        <v>39</v>
      </c>
      <c r="E338" s="6"/>
      <c r="F338" s="7"/>
      <c r="G338" s="14" t="s">
        <v>28</v>
      </c>
      <c r="H338" s="15">
        <v>1</v>
      </c>
      <c r="I338" s="16"/>
      <c r="J338" s="16"/>
      <c r="K338" s="11" t="str">
        <f t="shared" ca="1" si="16"/>
        <v/>
      </c>
      <c r="L338" s="12" t="str">
        <f t="shared" ca="1" si="17"/>
        <v>🟢 مكتملة</v>
      </c>
      <c r="M338" s="13" t="s">
        <v>40</v>
      </c>
      <c r="N338" s="13"/>
      <c r="O338" s="13"/>
      <c r="P338" s="13" t="s">
        <v>36</v>
      </c>
    </row>
    <row r="339" spans="1:16" ht="27.75" hidden="1" customHeight="1" x14ac:dyDescent="0.4">
      <c r="A339" s="5">
        <v>337</v>
      </c>
      <c r="B339" s="5" t="s">
        <v>184</v>
      </c>
      <c r="C339" s="5" t="s">
        <v>38</v>
      </c>
      <c r="D339" s="5" t="s">
        <v>39</v>
      </c>
      <c r="E339" s="6"/>
      <c r="F339" s="7"/>
      <c r="G339" s="14" t="s">
        <v>28</v>
      </c>
      <c r="H339" s="9">
        <v>1</v>
      </c>
      <c r="I339" s="10"/>
      <c r="J339" s="10"/>
      <c r="K339" s="11" t="str">
        <f t="shared" ca="1" si="16"/>
        <v/>
      </c>
      <c r="L339" s="12" t="str">
        <f t="shared" ca="1" si="17"/>
        <v>🟢 مكتملة</v>
      </c>
      <c r="M339" s="5" t="s">
        <v>28</v>
      </c>
      <c r="N339" s="5"/>
      <c r="O339" s="5"/>
      <c r="P339" s="5" t="s">
        <v>36</v>
      </c>
    </row>
    <row r="340" spans="1:16" ht="27.75" hidden="1" customHeight="1" x14ac:dyDescent="0.4">
      <c r="A340" s="5">
        <v>338</v>
      </c>
      <c r="B340" s="13" t="s">
        <v>41</v>
      </c>
      <c r="C340" s="13" t="s">
        <v>42</v>
      </c>
      <c r="D340" s="13" t="s">
        <v>43</v>
      </c>
      <c r="E340" s="6"/>
      <c r="F340" s="7"/>
      <c r="G340" s="14" t="s">
        <v>28</v>
      </c>
      <c r="H340" s="15">
        <v>1</v>
      </c>
      <c r="I340" s="16"/>
      <c r="J340" s="16"/>
      <c r="K340" s="11" t="str">
        <f t="shared" ca="1" si="16"/>
        <v/>
      </c>
      <c r="L340" s="12" t="str">
        <f t="shared" ca="1" si="17"/>
        <v>🟢 مكتملة</v>
      </c>
      <c r="M340" s="13" t="s">
        <v>44</v>
      </c>
      <c r="N340" s="13"/>
      <c r="O340" s="13"/>
      <c r="P340" s="13" t="s">
        <v>36</v>
      </c>
    </row>
    <row r="341" spans="1:16" ht="27.75" hidden="1" customHeight="1" x14ac:dyDescent="0.4">
      <c r="A341" s="13">
        <v>339</v>
      </c>
      <c r="B341" s="5" t="s">
        <v>45</v>
      </c>
      <c r="C341" s="5" t="s">
        <v>42</v>
      </c>
      <c r="D341" s="5" t="s">
        <v>43</v>
      </c>
      <c r="E341" s="6"/>
      <c r="F341" s="7"/>
      <c r="G341" s="14" t="s">
        <v>28</v>
      </c>
      <c r="H341" s="9">
        <v>1</v>
      </c>
      <c r="I341" s="10"/>
      <c r="J341" s="10"/>
      <c r="K341" s="11" t="str">
        <f t="shared" ca="1" si="16"/>
        <v/>
      </c>
      <c r="L341" s="12" t="str">
        <f t="shared" ca="1" si="17"/>
        <v>🟢 مكتملة</v>
      </c>
      <c r="M341" s="5"/>
      <c r="N341" s="5"/>
      <c r="O341" s="5"/>
      <c r="P341" s="5" t="s">
        <v>36</v>
      </c>
    </row>
    <row r="342" spans="1:16" ht="27.75" hidden="1" customHeight="1" x14ac:dyDescent="0.4">
      <c r="A342" s="13">
        <v>340</v>
      </c>
      <c r="B342" s="13" t="s">
        <v>779</v>
      </c>
      <c r="C342" s="13" t="s">
        <v>31</v>
      </c>
      <c r="D342" s="13" t="s">
        <v>76</v>
      </c>
      <c r="E342" s="6"/>
      <c r="F342" s="7"/>
      <c r="G342" s="14" t="s">
        <v>28</v>
      </c>
      <c r="H342" s="15">
        <v>1</v>
      </c>
      <c r="I342" s="16"/>
      <c r="J342" s="16"/>
      <c r="K342" s="11" t="str">
        <f t="shared" ca="1" si="16"/>
        <v/>
      </c>
      <c r="L342" s="12" t="str">
        <f t="shared" ca="1" si="17"/>
        <v>🟢 مكتملة</v>
      </c>
      <c r="M342" s="13" t="s">
        <v>780</v>
      </c>
      <c r="N342" s="13" t="s">
        <v>95</v>
      </c>
      <c r="O342" s="13"/>
      <c r="P342" s="13" t="s">
        <v>36</v>
      </c>
    </row>
    <row r="343" spans="1:16" ht="27.75" hidden="1" customHeight="1" x14ac:dyDescent="0.4">
      <c r="A343" s="5">
        <v>341</v>
      </c>
      <c r="B343" s="5" t="s">
        <v>410</v>
      </c>
      <c r="C343" s="5" t="s">
        <v>31</v>
      </c>
      <c r="D343" s="5" t="s">
        <v>76</v>
      </c>
      <c r="E343" s="6"/>
      <c r="F343" s="7"/>
      <c r="G343" s="14" t="s">
        <v>28</v>
      </c>
      <c r="H343" s="9">
        <v>1</v>
      </c>
      <c r="I343" s="10"/>
      <c r="J343" s="10"/>
      <c r="K343" s="11" t="str">
        <f t="shared" ca="1" si="16"/>
        <v/>
      </c>
      <c r="L343" s="12" t="str">
        <f t="shared" ca="1" si="17"/>
        <v>🟢 مكتملة</v>
      </c>
      <c r="M343" s="5" t="s">
        <v>411</v>
      </c>
      <c r="N343" s="5"/>
      <c r="O343" s="5"/>
      <c r="P343" s="5" t="s">
        <v>36</v>
      </c>
    </row>
    <row r="344" spans="1:16" ht="27.75" hidden="1" customHeight="1" x14ac:dyDescent="0.4">
      <c r="A344" s="5">
        <v>342</v>
      </c>
      <c r="B344" s="13" t="s">
        <v>503</v>
      </c>
      <c r="C344" s="13" t="s">
        <v>31</v>
      </c>
      <c r="D344" s="13" t="s">
        <v>76</v>
      </c>
      <c r="E344" s="6"/>
      <c r="F344" s="7"/>
      <c r="G344" s="14" t="s">
        <v>28</v>
      </c>
      <c r="H344" s="15">
        <v>1</v>
      </c>
      <c r="I344" s="16"/>
      <c r="J344" s="16"/>
      <c r="K344" s="11" t="str">
        <f t="shared" ca="1" si="16"/>
        <v/>
      </c>
      <c r="L344" s="12" t="str">
        <f t="shared" ca="1" si="17"/>
        <v>🟢 مكتملة</v>
      </c>
      <c r="M344" s="13" t="s">
        <v>504</v>
      </c>
      <c r="N344" s="13" t="s">
        <v>317</v>
      </c>
      <c r="O344" s="13"/>
      <c r="P344" s="13" t="s">
        <v>36</v>
      </c>
    </row>
    <row r="345" spans="1:16" ht="27.75" hidden="1" customHeight="1" x14ac:dyDescent="0.4">
      <c r="A345" s="13">
        <v>343</v>
      </c>
      <c r="B345" s="5" t="s">
        <v>417</v>
      </c>
      <c r="C345" s="5" t="s">
        <v>63</v>
      </c>
      <c r="D345" s="5" t="s">
        <v>240</v>
      </c>
      <c r="E345" s="6"/>
      <c r="F345" s="7"/>
      <c r="G345" s="14" t="s">
        <v>28</v>
      </c>
      <c r="H345" s="9">
        <v>1</v>
      </c>
      <c r="I345" s="10"/>
      <c r="J345" s="10">
        <v>45823</v>
      </c>
      <c r="K345" s="11" t="str">
        <f t="shared" ca="1" si="16"/>
        <v>✓</v>
      </c>
      <c r="L345" s="12" t="str">
        <f t="shared" ca="1" si="17"/>
        <v>🟢 مكتملة</v>
      </c>
      <c r="M345" s="5" t="s">
        <v>418</v>
      </c>
      <c r="N345" s="5" t="s">
        <v>95</v>
      </c>
      <c r="O345" s="5"/>
      <c r="P345" s="5" t="s">
        <v>36</v>
      </c>
    </row>
    <row r="346" spans="1:16" ht="27.75" hidden="1" customHeight="1" x14ac:dyDescent="0.4">
      <c r="A346" s="13">
        <v>344</v>
      </c>
      <c r="B346" s="13" t="s">
        <v>461</v>
      </c>
      <c r="C346" s="13" t="s">
        <v>63</v>
      </c>
      <c r="D346" s="13" t="s">
        <v>240</v>
      </c>
      <c r="E346" s="6"/>
      <c r="F346" s="7"/>
      <c r="G346" s="14" t="s">
        <v>28</v>
      </c>
      <c r="H346" s="15">
        <v>1</v>
      </c>
      <c r="I346" s="16"/>
      <c r="J346" s="16">
        <v>45843</v>
      </c>
      <c r="K346" s="11" t="str">
        <f t="shared" ca="1" si="16"/>
        <v>✓</v>
      </c>
      <c r="L346" s="12" t="str">
        <f t="shared" ca="1" si="17"/>
        <v>🟢 مكتملة</v>
      </c>
      <c r="M346" s="13" t="s">
        <v>462</v>
      </c>
      <c r="N346" s="13" t="s">
        <v>155</v>
      </c>
      <c r="O346" s="13"/>
      <c r="P346" s="13" t="s">
        <v>36</v>
      </c>
    </row>
    <row r="347" spans="1:16" ht="27.75" hidden="1" customHeight="1" x14ac:dyDescent="0.4">
      <c r="A347" s="13">
        <v>345</v>
      </c>
      <c r="B347" s="5" t="s">
        <v>107</v>
      </c>
      <c r="C347" s="5" t="s">
        <v>55</v>
      </c>
      <c r="D347" s="5" t="s">
        <v>56</v>
      </c>
      <c r="E347" s="6"/>
      <c r="F347" s="7"/>
      <c r="G347" s="14" t="s">
        <v>28</v>
      </c>
      <c r="H347" s="9">
        <v>1</v>
      </c>
      <c r="I347" s="10"/>
      <c r="J347" s="10"/>
      <c r="K347" s="11" t="str">
        <f t="shared" ca="1" si="16"/>
        <v/>
      </c>
      <c r="L347" s="12" t="str">
        <f t="shared" ca="1" si="17"/>
        <v>🟢 مكتملة</v>
      </c>
      <c r="M347" s="5"/>
      <c r="N347" s="5" t="s">
        <v>108</v>
      </c>
      <c r="O347" s="5"/>
      <c r="P347" s="5" t="s">
        <v>36</v>
      </c>
    </row>
    <row r="348" spans="1:16" ht="27.75" hidden="1" customHeight="1" x14ac:dyDescent="0.4">
      <c r="A348" s="13">
        <v>346</v>
      </c>
      <c r="B348" s="13" t="s">
        <v>543</v>
      </c>
      <c r="C348" s="13" t="s">
        <v>63</v>
      </c>
      <c r="D348" s="13" t="s">
        <v>240</v>
      </c>
      <c r="E348" s="6"/>
      <c r="F348" s="7"/>
      <c r="G348" s="14" t="s">
        <v>28</v>
      </c>
      <c r="H348" s="15">
        <v>1</v>
      </c>
      <c r="I348" s="16"/>
      <c r="J348" s="16">
        <v>45838</v>
      </c>
      <c r="K348" s="11" t="str">
        <f t="shared" ca="1" si="16"/>
        <v>✓</v>
      </c>
      <c r="L348" s="12" t="str">
        <f t="shared" ca="1" si="17"/>
        <v>🟢 مكتملة</v>
      </c>
      <c r="M348" s="13" t="s">
        <v>544</v>
      </c>
      <c r="N348" s="13" t="s">
        <v>545</v>
      </c>
      <c r="O348" s="13"/>
      <c r="P348" s="13" t="s">
        <v>36</v>
      </c>
    </row>
    <row r="349" spans="1:16" ht="27.75" hidden="1" customHeight="1" x14ac:dyDescent="0.4">
      <c r="A349" s="5">
        <v>347</v>
      </c>
      <c r="B349" s="5" t="s">
        <v>144</v>
      </c>
      <c r="C349" s="5" t="s">
        <v>42</v>
      </c>
      <c r="D349" s="5" t="s">
        <v>43</v>
      </c>
      <c r="E349" s="6"/>
      <c r="F349" s="7"/>
      <c r="G349" s="14" t="s">
        <v>28</v>
      </c>
      <c r="H349" s="9">
        <v>1</v>
      </c>
      <c r="I349" s="10"/>
      <c r="J349" s="10">
        <v>45868</v>
      </c>
      <c r="K349" s="11" t="str">
        <f t="shared" ca="1" si="16"/>
        <v>✓</v>
      </c>
      <c r="L349" s="12" t="str">
        <f t="shared" ca="1" si="17"/>
        <v>🟢 مكتملة</v>
      </c>
      <c r="M349" s="5" t="s">
        <v>145</v>
      </c>
      <c r="N349" s="5" t="s">
        <v>146</v>
      </c>
      <c r="O349" s="5"/>
      <c r="P349" s="5" t="s">
        <v>36</v>
      </c>
    </row>
    <row r="350" spans="1:16" ht="27.75" hidden="1" customHeight="1" x14ac:dyDescent="0.4">
      <c r="A350" s="5">
        <v>348</v>
      </c>
      <c r="B350" s="13" t="s">
        <v>75</v>
      </c>
      <c r="C350" s="13" t="s">
        <v>31</v>
      </c>
      <c r="D350" s="13" t="s">
        <v>76</v>
      </c>
      <c r="E350" s="6"/>
      <c r="F350" s="7"/>
      <c r="G350" s="14" t="s">
        <v>28</v>
      </c>
      <c r="H350" s="15">
        <v>1</v>
      </c>
      <c r="I350" s="16"/>
      <c r="J350" s="16"/>
      <c r="K350" s="11" t="str">
        <f t="shared" ca="1" si="16"/>
        <v/>
      </c>
      <c r="L350" s="12" t="str">
        <f t="shared" ca="1" si="17"/>
        <v>🟢 مكتملة</v>
      </c>
      <c r="M350" s="13" t="s">
        <v>77</v>
      </c>
      <c r="N350" s="13" t="s">
        <v>78</v>
      </c>
      <c r="O350" s="13"/>
      <c r="P350" s="13" t="s">
        <v>36</v>
      </c>
    </row>
    <row r="351" spans="1:16" ht="27.75" hidden="1" customHeight="1" x14ac:dyDescent="0.4">
      <c r="A351" s="13">
        <v>349</v>
      </c>
      <c r="B351" s="5" t="s">
        <v>307</v>
      </c>
      <c r="C351" s="5" t="s">
        <v>26</v>
      </c>
      <c r="D351" s="5" t="s">
        <v>27</v>
      </c>
      <c r="E351" s="6"/>
      <c r="F351" s="7"/>
      <c r="G351" s="14" t="s">
        <v>28</v>
      </c>
      <c r="H351" s="9">
        <v>1</v>
      </c>
      <c r="I351" s="10"/>
      <c r="J351" s="10"/>
      <c r="K351" s="11" t="str">
        <f t="shared" ca="1" si="16"/>
        <v/>
      </c>
      <c r="L351" s="12" t="str">
        <f t="shared" ca="1" si="17"/>
        <v>🟢 مكتملة</v>
      </c>
      <c r="M351" s="5" t="s">
        <v>308</v>
      </c>
      <c r="N351" s="5" t="s">
        <v>155</v>
      </c>
      <c r="O351" s="5"/>
      <c r="P351" s="5" t="s">
        <v>36</v>
      </c>
    </row>
    <row r="352" spans="1:16" ht="27.75" hidden="1" customHeight="1" x14ac:dyDescent="0.4">
      <c r="A352" s="13">
        <v>350</v>
      </c>
      <c r="B352" s="13" t="s">
        <v>715</v>
      </c>
      <c r="C352" s="13" t="s">
        <v>42</v>
      </c>
      <c r="D352" s="13" t="s">
        <v>43</v>
      </c>
      <c r="E352" s="6"/>
      <c r="F352" s="7"/>
      <c r="G352" s="14" t="s">
        <v>28</v>
      </c>
      <c r="H352" s="15">
        <v>1</v>
      </c>
      <c r="I352" s="16"/>
      <c r="J352" s="16"/>
      <c r="K352" s="11" t="str">
        <f t="shared" ca="1" si="16"/>
        <v/>
      </c>
      <c r="L352" s="12" t="str">
        <f t="shared" ca="1" si="17"/>
        <v>🟢 مكتملة</v>
      </c>
      <c r="M352" s="13" t="s">
        <v>716</v>
      </c>
      <c r="N352" s="13" t="s">
        <v>717</v>
      </c>
      <c r="O352" s="13"/>
      <c r="P352" s="13" t="s">
        <v>36</v>
      </c>
    </row>
    <row r="353" spans="1:16" ht="27.75" hidden="1" customHeight="1" x14ac:dyDescent="0.4">
      <c r="A353" s="5">
        <v>351</v>
      </c>
      <c r="B353" s="5" t="s">
        <v>149</v>
      </c>
      <c r="C353" s="5" t="s">
        <v>38</v>
      </c>
      <c r="D353" s="5" t="s">
        <v>39</v>
      </c>
      <c r="E353" s="6"/>
      <c r="F353" s="7"/>
      <c r="G353" s="14" t="s">
        <v>28</v>
      </c>
      <c r="H353" s="9">
        <v>1</v>
      </c>
      <c r="I353" s="10"/>
      <c r="J353" s="10"/>
      <c r="K353" s="11" t="str">
        <f t="shared" ca="1" si="16"/>
        <v/>
      </c>
      <c r="L353" s="12" t="str">
        <f t="shared" ca="1" si="17"/>
        <v>🟢 مكتملة</v>
      </c>
      <c r="M353" s="5" t="s">
        <v>150</v>
      </c>
      <c r="N353" s="5" t="s">
        <v>151</v>
      </c>
      <c r="O353" s="5"/>
      <c r="P353" s="5" t="s">
        <v>36</v>
      </c>
    </row>
    <row r="354" spans="1:16" ht="27.75" hidden="1" customHeight="1" x14ac:dyDescent="0.4">
      <c r="A354" s="5">
        <v>352</v>
      </c>
      <c r="B354" s="13" t="s">
        <v>590</v>
      </c>
      <c r="C354" s="13" t="s">
        <v>42</v>
      </c>
      <c r="D354" s="13" t="s">
        <v>43</v>
      </c>
      <c r="E354" s="6"/>
      <c r="F354" s="7"/>
      <c r="G354" s="14" t="s">
        <v>28</v>
      </c>
      <c r="H354" s="15">
        <v>1</v>
      </c>
      <c r="I354" s="16"/>
      <c r="J354" s="16">
        <v>45918</v>
      </c>
      <c r="K354" s="11" t="str">
        <f t="shared" ca="1" si="16"/>
        <v>✓</v>
      </c>
      <c r="L354" s="12" t="str">
        <f t="shared" ca="1" si="17"/>
        <v>🟢 مكتملة</v>
      </c>
      <c r="M354" s="13" t="s">
        <v>155</v>
      </c>
      <c r="N354" s="13" t="s">
        <v>95</v>
      </c>
      <c r="O354" s="13"/>
      <c r="P354" s="13" t="s">
        <v>36</v>
      </c>
    </row>
    <row r="355" spans="1:16" ht="27.75" hidden="1" customHeight="1" x14ac:dyDescent="0.4">
      <c r="A355" s="13">
        <v>353</v>
      </c>
      <c r="B355" s="5" t="s">
        <v>231</v>
      </c>
      <c r="C355" s="5" t="s">
        <v>50</v>
      </c>
      <c r="D355" s="5" t="s">
        <v>113</v>
      </c>
      <c r="E355" s="6"/>
      <c r="F355" s="7"/>
      <c r="G355" s="14" t="s">
        <v>28</v>
      </c>
      <c r="H355" s="9">
        <v>1</v>
      </c>
      <c r="I355" s="10"/>
      <c r="J355" s="10">
        <v>45826</v>
      </c>
      <c r="K355" s="11" t="str">
        <f t="shared" ca="1" si="16"/>
        <v>✓</v>
      </c>
      <c r="L355" s="12" t="str">
        <f t="shared" ca="1" si="17"/>
        <v>🟢 مكتملة</v>
      </c>
      <c r="M355" s="5" t="s">
        <v>232</v>
      </c>
      <c r="N355" s="5"/>
      <c r="O355" s="5"/>
      <c r="P355" s="5" t="s">
        <v>36</v>
      </c>
    </row>
    <row r="356" spans="1:16" ht="27.75" hidden="1" customHeight="1" x14ac:dyDescent="0.4">
      <c r="A356" s="13">
        <v>354</v>
      </c>
      <c r="B356" s="13" t="s">
        <v>593</v>
      </c>
      <c r="C356" s="13" t="s">
        <v>55</v>
      </c>
      <c r="D356" s="13" t="s">
        <v>56</v>
      </c>
      <c r="E356" s="6"/>
      <c r="F356" s="7"/>
      <c r="G356" s="14" t="s">
        <v>28</v>
      </c>
      <c r="H356" s="15">
        <v>1</v>
      </c>
      <c r="I356" s="16"/>
      <c r="J356" s="16">
        <v>45825</v>
      </c>
      <c r="K356" s="11" t="str">
        <f t="shared" ca="1" si="16"/>
        <v>✓</v>
      </c>
      <c r="L356" s="12" t="str">
        <f t="shared" ca="1" si="17"/>
        <v>🟢 مكتملة</v>
      </c>
      <c r="M356" s="13" t="s">
        <v>594</v>
      </c>
      <c r="N356" s="13" t="s">
        <v>595</v>
      </c>
      <c r="O356" s="13"/>
      <c r="P356" s="13" t="s">
        <v>36</v>
      </c>
    </row>
    <row r="357" spans="1:16" ht="27.75" hidden="1" customHeight="1" x14ac:dyDescent="0.4">
      <c r="A357" s="13">
        <v>355</v>
      </c>
      <c r="B357" s="5" t="s">
        <v>159</v>
      </c>
      <c r="C357" s="5" t="s">
        <v>31</v>
      </c>
      <c r="D357" s="5" t="s">
        <v>76</v>
      </c>
      <c r="E357" s="6"/>
      <c r="F357" s="7"/>
      <c r="G357" s="14" t="s">
        <v>28</v>
      </c>
      <c r="H357" s="9">
        <v>1</v>
      </c>
      <c r="I357" s="10"/>
      <c r="J357" s="10">
        <v>45826</v>
      </c>
      <c r="K357" s="11" t="str">
        <f t="shared" ca="1" si="16"/>
        <v>✓</v>
      </c>
      <c r="L357" s="12" t="str">
        <f t="shared" ca="1" si="17"/>
        <v>🟢 مكتملة</v>
      </c>
      <c r="M357" s="5"/>
      <c r="N357" s="5" t="s">
        <v>160</v>
      </c>
      <c r="O357" s="5"/>
      <c r="P357" s="5" t="s">
        <v>36</v>
      </c>
    </row>
    <row r="358" spans="1:16" ht="27.75" hidden="1" customHeight="1" x14ac:dyDescent="0.4">
      <c r="A358" s="13">
        <v>356</v>
      </c>
      <c r="B358" s="13" t="s">
        <v>469</v>
      </c>
      <c r="C358" s="13" t="s">
        <v>31</v>
      </c>
      <c r="D358" s="13" t="s">
        <v>76</v>
      </c>
      <c r="E358" s="6"/>
      <c r="F358" s="7"/>
      <c r="G358" s="14" t="s">
        <v>28</v>
      </c>
      <c r="H358" s="15">
        <v>1</v>
      </c>
      <c r="I358" s="16"/>
      <c r="J358" s="16"/>
      <c r="K358" s="11" t="str">
        <f t="shared" ca="1" si="16"/>
        <v/>
      </c>
      <c r="L358" s="12" t="str">
        <f t="shared" ca="1" si="17"/>
        <v>🟢 مكتملة</v>
      </c>
      <c r="M358" s="13" t="s">
        <v>470</v>
      </c>
      <c r="N358" s="13"/>
      <c r="O358" s="13"/>
      <c r="P358" s="13" t="s">
        <v>36</v>
      </c>
    </row>
    <row r="359" spans="1:16" ht="27.75" hidden="1" customHeight="1" x14ac:dyDescent="0.4">
      <c r="A359" s="5">
        <v>357</v>
      </c>
      <c r="B359" s="5" t="s">
        <v>652</v>
      </c>
      <c r="C359" s="5" t="s">
        <v>97</v>
      </c>
      <c r="D359" s="5" t="s">
        <v>98</v>
      </c>
      <c r="E359" s="6"/>
      <c r="F359" s="7"/>
      <c r="G359" s="14" t="s">
        <v>28</v>
      </c>
      <c r="H359" s="9">
        <v>1</v>
      </c>
      <c r="I359" s="10"/>
      <c r="J359" s="10">
        <v>45797</v>
      </c>
      <c r="K359" s="11" t="str">
        <f t="shared" ca="1" si="16"/>
        <v>✓</v>
      </c>
      <c r="L359" s="12" t="str">
        <f t="shared" ca="1" si="17"/>
        <v>🟢 مكتملة</v>
      </c>
      <c r="M359" s="5" t="s">
        <v>95</v>
      </c>
      <c r="N359" s="5"/>
      <c r="O359" s="5"/>
      <c r="P359" s="5" t="s">
        <v>36</v>
      </c>
    </row>
    <row r="360" spans="1:16" ht="27.75" hidden="1" customHeight="1" x14ac:dyDescent="0.4">
      <c r="A360" s="5">
        <v>358</v>
      </c>
      <c r="B360" s="13" t="s">
        <v>465</v>
      </c>
      <c r="C360" s="13" t="s">
        <v>31</v>
      </c>
      <c r="D360" s="13" t="s">
        <v>100</v>
      </c>
      <c r="E360" s="6"/>
      <c r="F360" s="7"/>
      <c r="G360" s="14" t="s">
        <v>28</v>
      </c>
      <c r="H360" s="15">
        <v>1</v>
      </c>
      <c r="I360" s="16"/>
      <c r="J360" s="16">
        <v>45841</v>
      </c>
      <c r="K360" s="11" t="str">
        <f t="shared" ca="1" si="16"/>
        <v>✓</v>
      </c>
      <c r="L360" s="12" t="str">
        <f t="shared" ca="1" si="17"/>
        <v>🟢 مكتملة</v>
      </c>
      <c r="M360" s="13"/>
      <c r="N360" s="13"/>
      <c r="O360" s="13"/>
      <c r="P360" s="13" t="s">
        <v>36</v>
      </c>
    </row>
    <row r="361" spans="1:16" ht="27.75" hidden="1" customHeight="1" x14ac:dyDescent="0.4">
      <c r="A361" s="13">
        <v>359</v>
      </c>
      <c r="B361" s="5" t="s">
        <v>96</v>
      </c>
      <c r="C361" s="5" t="s">
        <v>97</v>
      </c>
      <c r="D361" s="5" t="s">
        <v>98</v>
      </c>
      <c r="E361" s="6"/>
      <c r="F361" s="7"/>
      <c r="G361" s="14" t="s">
        <v>28</v>
      </c>
      <c r="H361" s="9">
        <v>1</v>
      </c>
      <c r="I361" s="10"/>
      <c r="J361" s="10">
        <v>45842</v>
      </c>
      <c r="K361" s="11" t="str">
        <f t="shared" ca="1" si="16"/>
        <v>✓</v>
      </c>
      <c r="L361" s="12" t="str">
        <f t="shared" ca="1" si="17"/>
        <v>🟢 مكتملة</v>
      </c>
      <c r="M361" s="5"/>
      <c r="N361" s="5"/>
      <c r="O361" s="5"/>
      <c r="P361" s="5" t="s">
        <v>36</v>
      </c>
    </row>
    <row r="362" spans="1:16" ht="27.75" hidden="1" customHeight="1" x14ac:dyDescent="0.4">
      <c r="A362" s="13">
        <v>360</v>
      </c>
      <c r="B362" s="13" t="s">
        <v>162</v>
      </c>
      <c r="C362" s="13" t="s">
        <v>31</v>
      </c>
      <c r="D362" s="13" t="s">
        <v>76</v>
      </c>
      <c r="E362" s="6"/>
      <c r="F362" s="7"/>
      <c r="G362" s="14" t="s">
        <v>28</v>
      </c>
      <c r="H362" s="15">
        <v>1</v>
      </c>
      <c r="I362" s="16"/>
      <c r="J362" s="16">
        <v>45848</v>
      </c>
      <c r="K362" s="11" t="str">
        <f t="shared" ca="1" si="16"/>
        <v>✓</v>
      </c>
      <c r="L362" s="12" t="str">
        <f t="shared" ca="1" si="17"/>
        <v>🟢 مكتملة</v>
      </c>
      <c r="M362" s="13" t="s">
        <v>163</v>
      </c>
      <c r="N362" s="13"/>
      <c r="O362" s="13"/>
      <c r="P362" s="13" t="s">
        <v>36</v>
      </c>
    </row>
    <row r="363" spans="1:16" ht="27.75" hidden="1" customHeight="1" x14ac:dyDescent="0.4">
      <c r="A363" s="5">
        <v>361</v>
      </c>
      <c r="B363" s="5" t="s">
        <v>459</v>
      </c>
      <c r="C363" s="5" t="s">
        <v>97</v>
      </c>
      <c r="D363" s="5" t="s">
        <v>98</v>
      </c>
      <c r="E363" s="6"/>
      <c r="F363" s="7"/>
      <c r="G363" s="14" t="s">
        <v>28</v>
      </c>
      <c r="H363" s="9">
        <v>1</v>
      </c>
      <c r="I363" s="10"/>
      <c r="J363" s="10">
        <v>45849</v>
      </c>
      <c r="K363" s="11" t="str">
        <f t="shared" ca="1" si="16"/>
        <v>✓</v>
      </c>
      <c r="L363" s="12" t="str">
        <f t="shared" ca="1" si="17"/>
        <v>🟢 مكتملة</v>
      </c>
      <c r="M363" s="5" t="s">
        <v>317</v>
      </c>
      <c r="N363" s="5"/>
      <c r="O363" s="5"/>
      <c r="P363" s="5" t="s">
        <v>36</v>
      </c>
    </row>
    <row r="364" spans="1:16" ht="27.75" hidden="1" customHeight="1" x14ac:dyDescent="0.4">
      <c r="A364" s="5">
        <v>362</v>
      </c>
      <c r="B364" s="13" t="s">
        <v>161</v>
      </c>
      <c r="C364" s="13" t="s">
        <v>31</v>
      </c>
      <c r="D364" s="13" t="s">
        <v>76</v>
      </c>
      <c r="E364" s="6"/>
      <c r="F364" s="7"/>
      <c r="G364" s="14" t="s">
        <v>28</v>
      </c>
      <c r="H364" s="15">
        <v>1</v>
      </c>
      <c r="I364" s="16"/>
      <c r="J364" s="16">
        <v>45879</v>
      </c>
      <c r="K364" s="11" t="str">
        <f t="shared" ca="1" si="16"/>
        <v>✓</v>
      </c>
      <c r="L364" s="12" t="str">
        <f t="shared" ca="1" si="17"/>
        <v>🟢 مكتملة</v>
      </c>
      <c r="M364" s="13"/>
      <c r="N364" s="13"/>
      <c r="O364" s="13"/>
      <c r="P364" s="13" t="s">
        <v>36</v>
      </c>
    </row>
    <row r="365" spans="1:16" ht="27.75" hidden="1" customHeight="1" x14ac:dyDescent="0.4">
      <c r="A365" s="13">
        <v>363</v>
      </c>
      <c r="B365" s="5" t="s">
        <v>460</v>
      </c>
      <c r="C365" s="5" t="s">
        <v>97</v>
      </c>
      <c r="D365" s="5" t="s">
        <v>98</v>
      </c>
      <c r="E365" s="6"/>
      <c r="F365" s="7"/>
      <c r="G365" s="14" t="s">
        <v>28</v>
      </c>
      <c r="H365" s="9">
        <v>1</v>
      </c>
      <c r="I365" s="10"/>
      <c r="J365" s="10">
        <v>45880</v>
      </c>
      <c r="K365" s="11" t="str">
        <f t="shared" ca="1" si="16"/>
        <v>✓</v>
      </c>
      <c r="L365" s="12" t="str">
        <f t="shared" ca="1" si="17"/>
        <v>🟢 مكتملة</v>
      </c>
      <c r="M365" s="5"/>
      <c r="N365" s="5"/>
      <c r="O365" s="5"/>
      <c r="P365" s="5" t="s">
        <v>36</v>
      </c>
    </row>
    <row r="366" spans="1:16" ht="27.75" customHeight="1" x14ac:dyDescent="0.4">
      <c r="A366" s="13">
        <v>364</v>
      </c>
      <c r="B366" s="13" t="s">
        <v>606</v>
      </c>
      <c r="C366" s="13" t="s">
        <v>26</v>
      </c>
      <c r="D366" s="13" t="s">
        <v>27</v>
      </c>
      <c r="E366" s="6" t="s">
        <v>842</v>
      </c>
      <c r="F366" s="7" t="s">
        <v>844</v>
      </c>
      <c r="G366" s="8" t="s">
        <v>20</v>
      </c>
      <c r="H366" s="15">
        <v>0.9</v>
      </c>
      <c r="I366" s="16"/>
      <c r="J366" s="16">
        <v>45888</v>
      </c>
      <c r="K366" s="11">
        <f t="shared" ca="1" si="16"/>
        <v>-226</v>
      </c>
      <c r="L366" s="12" t="str">
        <f t="shared" ca="1" si="17"/>
        <v>🔴 متأخرة</v>
      </c>
      <c r="M366" s="21" t="s">
        <v>608</v>
      </c>
      <c r="N366" s="13" t="s">
        <v>609</v>
      </c>
      <c r="O366" s="13"/>
      <c r="P366" s="13" t="s">
        <v>36</v>
      </c>
    </row>
    <row r="367" spans="1:16" ht="27.75" hidden="1" customHeight="1" x14ac:dyDescent="0.4">
      <c r="A367" s="13">
        <v>365</v>
      </c>
      <c r="B367" s="5" t="s">
        <v>610</v>
      </c>
      <c r="C367" s="5" t="s">
        <v>97</v>
      </c>
      <c r="D367" s="5" t="s">
        <v>98</v>
      </c>
      <c r="E367" s="6"/>
      <c r="F367" s="7"/>
      <c r="G367" s="14" t="s">
        <v>28</v>
      </c>
      <c r="H367" s="9">
        <v>1</v>
      </c>
      <c r="I367" s="10"/>
      <c r="J367" s="10"/>
      <c r="K367" s="11" t="str">
        <f t="shared" ca="1" si="16"/>
        <v/>
      </c>
      <c r="L367" s="12" t="str">
        <f t="shared" ca="1" si="17"/>
        <v>🟢 مكتملة</v>
      </c>
      <c r="M367" s="5" t="s">
        <v>611</v>
      </c>
      <c r="N367" s="5"/>
      <c r="O367" s="5" t="s">
        <v>136</v>
      </c>
      <c r="P367" s="5" t="s">
        <v>36</v>
      </c>
    </row>
    <row r="368" spans="1:16" ht="27.75" hidden="1" customHeight="1" x14ac:dyDescent="0.4">
      <c r="A368" s="13">
        <v>366</v>
      </c>
      <c r="B368" s="13" t="s">
        <v>522</v>
      </c>
      <c r="C368" s="13" t="s">
        <v>38</v>
      </c>
      <c r="D368" s="13" t="s">
        <v>39</v>
      </c>
      <c r="E368" s="6"/>
      <c r="F368" s="7"/>
      <c r="G368" s="14" t="s">
        <v>28</v>
      </c>
      <c r="H368" s="15">
        <v>1</v>
      </c>
      <c r="I368" s="16"/>
      <c r="J368" s="16"/>
      <c r="K368" s="11" t="str">
        <f t="shared" ca="1" si="16"/>
        <v/>
      </c>
      <c r="L368" s="12" t="str">
        <f t="shared" ca="1" si="17"/>
        <v>🟢 مكتملة</v>
      </c>
      <c r="M368" s="13" t="s">
        <v>523</v>
      </c>
      <c r="N368" s="13"/>
      <c r="O368" s="13"/>
      <c r="P368" s="13" t="s">
        <v>36</v>
      </c>
    </row>
    <row r="369" spans="1:16" ht="27.75" hidden="1" customHeight="1" x14ac:dyDescent="0.4">
      <c r="A369" s="5">
        <v>367</v>
      </c>
      <c r="B369" s="5" t="s">
        <v>496</v>
      </c>
      <c r="C369" s="5" t="s">
        <v>97</v>
      </c>
      <c r="D369" s="5" t="s">
        <v>98</v>
      </c>
      <c r="E369" s="6"/>
      <c r="F369" s="7"/>
      <c r="G369" s="14" t="s">
        <v>28</v>
      </c>
      <c r="H369" s="9">
        <v>1</v>
      </c>
      <c r="I369" s="10"/>
      <c r="J369" s="10"/>
      <c r="K369" s="11" t="str">
        <f t="shared" ca="1" si="16"/>
        <v/>
      </c>
      <c r="L369" s="12" t="str">
        <f t="shared" ca="1" si="17"/>
        <v>🟢 مكتملة</v>
      </c>
      <c r="M369" s="5" t="s">
        <v>97</v>
      </c>
      <c r="N369" s="5" t="s">
        <v>497</v>
      </c>
      <c r="O369" s="5"/>
      <c r="P369" s="5" t="s">
        <v>36</v>
      </c>
    </row>
    <row r="370" spans="1:16" ht="27.75" hidden="1" customHeight="1" x14ac:dyDescent="0.4">
      <c r="A370" s="5">
        <v>368</v>
      </c>
      <c r="B370" s="13" t="s">
        <v>59</v>
      </c>
      <c r="C370" s="13" t="s">
        <v>42</v>
      </c>
      <c r="D370" s="13"/>
      <c r="E370" s="6"/>
      <c r="F370" s="7"/>
      <c r="G370" s="14" t="s">
        <v>28</v>
      </c>
      <c r="H370" s="15">
        <v>1</v>
      </c>
      <c r="I370" s="16"/>
      <c r="J370" s="16"/>
      <c r="K370" s="11" t="str">
        <f t="shared" ca="1" si="16"/>
        <v/>
      </c>
      <c r="L370" s="12" t="str">
        <f t="shared" ca="1" si="17"/>
        <v>🟢 مكتملة</v>
      </c>
      <c r="M370" s="13" t="s">
        <v>60</v>
      </c>
      <c r="N370" s="13" t="s">
        <v>61</v>
      </c>
      <c r="O370" s="13"/>
      <c r="P370" s="13" t="s">
        <v>36</v>
      </c>
    </row>
    <row r="371" spans="1:16" ht="27.75" hidden="1" customHeight="1" x14ac:dyDescent="0.4">
      <c r="A371" s="13">
        <v>369</v>
      </c>
      <c r="B371" s="5" t="s">
        <v>133</v>
      </c>
      <c r="C371" s="5" t="s">
        <v>42</v>
      </c>
      <c r="D371" s="5" t="s">
        <v>43</v>
      </c>
      <c r="E371" s="6"/>
      <c r="F371" s="7"/>
      <c r="G371" s="14" t="s">
        <v>28</v>
      </c>
      <c r="H371" s="9">
        <v>1</v>
      </c>
      <c r="I371" s="10"/>
      <c r="J371" s="10"/>
      <c r="K371" s="11" t="str">
        <f t="shared" ca="1" si="16"/>
        <v/>
      </c>
      <c r="L371" s="12" t="str">
        <f t="shared" ca="1" si="17"/>
        <v>🟢 مكتملة</v>
      </c>
      <c r="M371" s="5" t="s">
        <v>134</v>
      </c>
      <c r="N371" s="5" t="s">
        <v>135</v>
      </c>
      <c r="O371" s="5" t="s">
        <v>136</v>
      </c>
      <c r="P371" s="5" t="s">
        <v>36</v>
      </c>
    </row>
    <row r="372" spans="1:16" ht="27.75" customHeight="1" x14ac:dyDescent="0.4">
      <c r="A372" s="13">
        <v>370</v>
      </c>
      <c r="B372" s="13" t="s">
        <v>509</v>
      </c>
      <c r="C372" s="13" t="s">
        <v>55</v>
      </c>
      <c r="D372" s="13" t="s">
        <v>56</v>
      </c>
      <c r="E372" s="6" t="s">
        <v>840</v>
      </c>
      <c r="F372" s="7" t="s">
        <v>845</v>
      </c>
      <c r="G372" s="8" t="s">
        <v>20</v>
      </c>
      <c r="H372" s="15">
        <v>0.5</v>
      </c>
      <c r="I372" s="16">
        <v>45888</v>
      </c>
      <c r="J372" s="10">
        <v>46022</v>
      </c>
      <c r="K372" s="11">
        <f t="shared" ca="1" si="16"/>
        <v>-92</v>
      </c>
      <c r="L372" s="12" t="str">
        <f t="shared" ca="1" si="17"/>
        <v>🔴 متأخرة</v>
      </c>
      <c r="M372" s="21" t="s">
        <v>510</v>
      </c>
      <c r="N372" s="13" t="s">
        <v>511</v>
      </c>
      <c r="O372" s="13"/>
      <c r="P372" s="13" t="s">
        <v>36</v>
      </c>
    </row>
    <row r="373" spans="1:16" ht="27.75" hidden="1" customHeight="1" x14ac:dyDescent="0.4">
      <c r="A373" s="5">
        <v>371</v>
      </c>
      <c r="B373" s="5" t="s">
        <v>589</v>
      </c>
      <c r="C373" s="5" t="s">
        <v>63</v>
      </c>
      <c r="D373" s="5" t="s">
        <v>64</v>
      </c>
      <c r="E373" s="6" t="s">
        <v>842</v>
      </c>
      <c r="F373" s="7"/>
      <c r="G373" s="8" t="s">
        <v>28</v>
      </c>
      <c r="H373" s="9">
        <v>0.5</v>
      </c>
      <c r="I373" s="10"/>
      <c r="J373" s="10">
        <v>45930</v>
      </c>
      <c r="K373" s="11" t="str">
        <f t="shared" ca="1" si="16"/>
        <v>✓</v>
      </c>
      <c r="L373" s="12" t="str">
        <f t="shared" ca="1" si="17"/>
        <v>🟢 مكتملة</v>
      </c>
      <c r="M373" s="5" t="s">
        <v>846</v>
      </c>
      <c r="N373" s="5" t="s">
        <v>847</v>
      </c>
      <c r="O373" s="5"/>
      <c r="P373" s="5" t="s">
        <v>36</v>
      </c>
    </row>
    <row r="374" spans="1:16" ht="27.75" hidden="1" customHeight="1" x14ac:dyDescent="0.4">
      <c r="A374" s="5">
        <v>372</v>
      </c>
      <c r="B374" s="13" t="s">
        <v>735</v>
      </c>
      <c r="C374" s="13" t="s">
        <v>63</v>
      </c>
      <c r="D374" s="13" t="s">
        <v>64</v>
      </c>
      <c r="E374" s="6"/>
      <c r="F374" s="7"/>
      <c r="G374" s="14" t="s">
        <v>28</v>
      </c>
      <c r="H374" s="15">
        <v>1</v>
      </c>
      <c r="I374" s="16"/>
      <c r="J374" s="16">
        <v>45900</v>
      </c>
      <c r="K374" s="11" t="str">
        <f t="shared" ca="1" si="16"/>
        <v>✓</v>
      </c>
      <c r="L374" s="12" t="str">
        <f t="shared" ca="1" si="17"/>
        <v>🟢 مكتملة</v>
      </c>
      <c r="M374" s="13" t="s">
        <v>736</v>
      </c>
      <c r="N374" s="13" t="s">
        <v>737</v>
      </c>
      <c r="O374" s="13"/>
      <c r="P374" s="13" t="s">
        <v>36</v>
      </c>
    </row>
    <row r="375" spans="1:16" ht="27.75" hidden="1" customHeight="1" x14ac:dyDescent="0.4">
      <c r="A375" s="13">
        <v>373</v>
      </c>
      <c r="B375" s="5" t="s">
        <v>445</v>
      </c>
      <c r="C375" s="5" t="s">
        <v>63</v>
      </c>
      <c r="D375" s="5"/>
      <c r="E375" s="6"/>
      <c r="F375" s="7"/>
      <c r="G375" s="14" t="s">
        <v>28</v>
      </c>
      <c r="H375" s="9">
        <v>1</v>
      </c>
      <c r="I375" s="10"/>
      <c r="J375" s="10"/>
      <c r="K375" s="11" t="str">
        <f t="shared" ca="1" si="16"/>
        <v/>
      </c>
      <c r="L375" s="12" t="str">
        <f t="shared" ca="1" si="17"/>
        <v>🟢 مكتملة</v>
      </c>
      <c r="M375" s="5" t="s">
        <v>446</v>
      </c>
      <c r="N375" s="5" t="s">
        <v>447</v>
      </c>
      <c r="O375" s="5"/>
      <c r="P375" s="5" t="s">
        <v>36</v>
      </c>
    </row>
    <row r="376" spans="1:16" ht="27.75" hidden="1" customHeight="1" x14ac:dyDescent="0.4">
      <c r="A376" s="13">
        <v>374</v>
      </c>
      <c r="B376" s="13" t="s">
        <v>466</v>
      </c>
      <c r="C376" s="13" t="s">
        <v>97</v>
      </c>
      <c r="D376" s="13" t="s">
        <v>98</v>
      </c>
      <c r="E376" s="6"/>
      <c r="F376" s="7"/>
      <c r="G376" s="14" t="s">
        <v>28</v>
      </c>
      <c r="H376" s="15">
        <v>1</v>
      </c>
      <c r="I376" s="16"/>
      <c r="J376" s="16"/>
      <c r="K376" s="11" t="str">
        <f t="shared" ca="1" si="16"/>
        <v/>
      </c>
      <c r="L376" s="12" t="str">
        <f t="shared" ca="1" si="17"/>
        <v>🟢 مكتملة</v>
      </c>
      <c r="M376" s="13" t="s">
        <v>467</v>
      </c>
      <c r="N376" s="13" t="s">
        <v>468</v>
      </c>
      <c r="O376" s="13"/>
      <c r="P376" s="13" t="s">
        <v>36</v>
      </c>
    </row>
    <row r="377" spans="1:16" ht="27.75" hidden="1" customHeight="1" x14ac:dyDescent="0.4">
      <c r="A377" s="13">
        <v>375</v>
      </c>
      <c r="B377" s="5" t="s">
        <v>54</v>
      </c>
      <c r="C377" s="5" t="s">
        <v>55</v>
      </c>
      <c r="D377" s="5" t="s">
        <v>56</v>
      </c>
      <c r="E377" s="6"/>
      <c r="F377" s="7"/>
      <c r="G377" s="14" t="s">
        <v>28</v>
      </c>
      <c r="H377" s="9">
        <v>1</v>
      </c>
      <c r="I377" s="10"/>
      <c r="J377" s="10"/>
      <c r="K377" s="11" t="str">
        <f t="shared" ca="1" si="16"/>
        <v/>
      </c>
      <c r="L377" s="12" t="str">
        <f t="shared" ca="1" si="17"/>
        <v>🟢 مكتملة</v>
      </c>
      <c r="M377" s="5" t="s">
        <v>57</v>
      </c>
      <c r="N377" s="5" t="s">
        <v>58</v>
      </c>
      <c r="O377" s="5"/>
      <c r="P377" s="5" t="s">
        <v>36</v>
      </c>
    </row>
    <row r="378" spans="1:16" ht="27.75" customHeight="1" x14ac:dyDescent="0.4">
      <c r="A378" s="13">
        <v>376</v>
      </c>
      <c r="B378" s="13" t="s">
        <v>315</v>
      </c>
      <c r="C378" s="13" t="s">
        <v>55</v>
      </c>
      <c r="D378" s="13" t="s">
        <v>217</v>
      </c>
      <c r="E378" s="6" t="s">
        <v>840</v>
      </c>
      <c r="F378" s="7" t="s">
        <v>844</v>
      </c>
      <c r="G378" s="8" t="s">
        <v>20</v>
      </c>
      <c r="H378" s="15">
        <v>0.5</v>
      </c>
      <c r="I378" s="16"/>
      <c r="J378" s="16">
        <v>46142</v>
      </c>
      <c r="K378" s="11">
        <f t="shared" ca="1" si="16"/>
        <v>28</v>
      </c>
      <c r="L378" s="12" t="str">
        <f t="shared" ca="1" si="17"/>
        <v>🟢 في المسار</v>
      </c>
      <c r="M378" s="21" t="s">
        <v>848</v>
      </c>
      <c r="N378" s="13" t="s">
        <v>849</v>
      </c>
      <c r="O378" s="13"/>
      <c r="P378" s="13" t="s">
        <v>36</v>
      </c>
    </row>
    <row r="379" spans="1:16" ht="27.75" hidden="1" customHeight="1" x14ac:dyDescent="0.4">
      <c r="A379" s="5">
        <v>377</v>
      </c>
      <c r="B379" s="5" t="s">
        <v>563</v>
      </c>
      <c r="C379" s="5" t="s">
        <v>26</v>
      </c>
      <c r="D379" s="5" t="s">
        <v>27</v>
      </c>
      <c r="E379" s="6"/>
      <c r="F379" s="7"/>
      <c r="G379" s="14" t="s">
        <v>28</v>
      </c>
      <c r="H379" s="9">
        <v>1</v>
      </c>
      <c r="I379" s="10"/>
      <c r="J379" s="10"/>
      <c r="K379" s="11" t="str">
        <f t="shared" ca="1" si="16"/>
        <v/>
      </c>
      <c r="L379" s="12" t="str">
        <f t="shared" ca="1" si="17"/>
        <v>🟢 مكتملة</v>
      </c>
      <c r="M379" s="5" t="s">
        <v>564</v>
      </c>
      <c r="N379" s="5" t="s">
        <v>565</v>
      </c>
      <c r="O379" s="5"/>
      <c r="P379" s="5" t="s">
        <v>36</v>
      </c>
    </row>
    <row r="380" spans="1:16" ht="27.75" hidden="1" customHeight="1" x14ac:dyDescent="0.4">
      <c r="A380" s="5">
        <v>378</v>
      </c>
      <c r="B380" s="13" t="s">
        <v>190</v>
      </c>
      <c r="C380" s="13" t="s">
        <v>26</v>
      </c>
      <c r="D380" s="13" t="s">
        <v>186</v>
      </c>
      <c r="E380" s="6"/>
      <c r="F380" s="7"/>
      <c r="G380" s="14" t="s">
        <v>28</v>
      </c>
      <c r="H380" s="15">
        <v>1</v>
      </c>
      <c r="I380" s="16"/>
      <c r="J380" s="16"/>
      <c r="K380" s="11" t="str">
        <f t="shared" ca="1" si="16"/>
        <v/>
      </c>
      <c r="L380" s="12" t="str">
        <f t="shared" ca="1" si="17"/>
        <v>🟢 مكتملة</v>
      </c>
      <c r="M380" s="13" t="s">
        <v>199</v>
      </c>
      <c r="N380" s="13"/>
      <c r="O380" s="13"/>
      <c r="P380" s="13" t="s">
        <v>36</v>
      </c>
    </row>
    <row r="381" spans="1:16" ht="27.75" customHeight="1" x14ac:dyDescent="0.4">
      <c r="A381" s="13">
        <v>379</v>
      </c>
      <c r="B381" s="5" t="s">
        <v>223</v>
      </c>
      <c r="C381" s="5" t="s">
        <v>26</v>
      </c>
      <c r="D381" s="5" t="s">
        <v>27</v>
      </c>
      <c r="E381" s="6" t="s">
        <v>842</v>
      </c>
      <c r="F381" s="7" t="s">
        <v>843</v>
      </c>
      <c r="G381" s="8" t="s">
        <v>20</v>
      </c>
      <c r="H381" s="9">
        <v>0.8</v>
      </c>
      <c r="I381" s="10"/>
      <c r="J381" s="10">
        <v>46022</v>
      </c>
      <c r="K381" s="11">
        <f t="shared" ca="1" si="16"/>
        <v>-92</v>
      </c>
      <c r="L381" s="12" t="str">
        <f t="shared" ca="1" si="17"/>
        <v>🔴 متأخرة</v>
      </c>
      <c r="M381" s="20" t="s">
        <v>224</v>
      </c>
      <c r="N381" s="5" t="s">
        <v>225</v>
      </c>
      <c r="O381" s="5"/>
      <c r="P381" s="5" t="s">
        <v>36</v>
      </c>
    </row>
    <row r="382" spans="1:16" ht="27.75" customHeight="1" x14ac:dyDescent="0.4">
      <c r="A382" s="13">
        <v>380</v>
      </c>
      <c r="B382" s="13" t="s">
        <v>512</v>
      </c>
      <c r="C382" s="13" t="s">
        <v>55</v>
      </c>
      <c r="D382" s="13" t="s">
        <v>56</v>
      </c>
      <c r="E382" s="6" t="s">
        <v>840</v>
      </c>
      <c r="F382" s="7" t="s">
        <v>845</v>
      </c>
      <c r="G382" s="8" t="s">
        <v>20</v>
      </c>
      <c r="H382" s="15">
        <v>0.9</v>
      </c>
      <c r="I382" s="16">
        <v>45888</v>
      </c>
      <c r="J382" s="10">
        <v>46022</v>
      </c>
      <c r="K382" s="11">
        <f t="shared" ca="1" si="16"/>
        <v>-92</v>
      </c>
      <c r="L382" s="12" t="str">
        <f t="shared" ca="1" si="17"/>
        <v>🔴 متأخرة</v>
      </c>
      <c r="M382" s="21" t="s">
        <v>513</v>
      </c>
      <c r="N382" s="13" t="s">
        <v>852</v>
      </c>
      <c r="O382" s="13"/>
      <c r="P382" s="13" t="s">
        <v>36</v>
      </c>
    </row>
    <row r="383" spans="1:16" ht="27.75" hidden="1" customHeight="1" x14ac:dyDescent="0.4">
      <c r="A383" s="5">
        <v>381</v>
      </c>
      <c r="B383" s="5" t="s">
        <v>483</v>
      </c>
      <c r="C383" s="5" t="s">
        <v>31</v>
      </c>
      <c r="D383" s="5" t="s">
        <v>100</v>
      </c>
      <c r="E383" s="6"/>
      <c r="F383" s="7"/>
      <c r="G383" s="14" t="s">
        <v>28</v>
      </c>
      <c r="H383" s="9">
        <v>1</v>
      </c>
      <c r="I383" s="10"/>
      <c r="J383" s="10"/>
      <c r="K383" s="11" t="str">
        <f t="shared" ca="1" si="16"/>
        <v/>
      </c>
      <c r="L383" s="12" t="str">
        <f t="shared" ca="1" si="17"/>
        <v>🟢 مكتملة</v>
      </c>
      <c r="M383" s="5" t="s">
        <v>484</v>
      </c>
      <c r="N383" s="5"/>
      <c r="O383" s="5"/>
      <c r="P383" s="5" t="s">
        <v>36</v>
      </c>
    </row>
    <row r="384" spans="1:16" ht="27.75" hidden="1" customHeight="1" x14ac:dyDescent="0.4">
      <c r="A384" s="5">
        <v>382</v>
      </c>
      <c r="B384" s="13" t="s">
        <v>728</v>
      </c>
      <c r="C384" s="13" t="s">
        <v>63</v>
      </c>
      <c r="D384" s="13" t="s">
        <v>64</v>
      </c>
      <c r="E384" s="6" t="s">
        <v>853</v>
      </c>
      <c r="F384" s="7" t="s">
        <v>844</v>
      </c>
      <c r="G384" s="8" t="s">
        <v>28</v>
      </c>
      <c r="H384" s="15">
        <v>1</v>
      </c>
      <c r="I384" s="16"/>
      <c r="J384" s="16"/>
      <c r="K384" s="11" t="str">
        <f t="shared" ca="1" si="16"/>
        <v/>
      </c>
      <c r="L384" s="12" t="str">
        <f t="shared" ca="1" si="17"/>
        <v>🟢 مكتملة</v>
      </c>
      <c r="M384" s="13" t="s">
        <v>729</v>
      </c>
      <c r="N384" s="13" t="s">
        <v>730</v>
      </c>
      <c r="O384" s="13"/>
      <c r="P384" s="13" t="s">
        <v>36</v>
      </c>
    </row>
    <row r="385" spans="1:16" ht="27.75" hidden="1" customHeight="1" x14ac:dyDescent="0.4">
      <c r="A385" s="13">
        <v>383</v>
      </c>
      <c r="B385" s="5" t="s">
        <v>601</v>
      </c>
      <c r="C385" s="5" t="s">
        <v>55</v>
      </c>
      <c r="D385" s="5" t="s">
        <v>56</v>
      </c>
      <c r="E385" s="6"/>
      <c r="F385" s="7"/>
      <c r="G385" s="14" t="s">
        <v>28</v>
      </c>
      <c r="H385" s="9">
        <v>1</v>
      </c>
      <c r="I385" s="10"/>
      <c r="J385" s="10"/>
      <c r="K385" s="11" t="str">
        <f t="shared" ca="1" si="16"/>
        <v/>
      </c>
      <c r="L385" s="12" t="str">
        <f t="shared" ca="1" si="17"/>
        <v>🟢 مكتملة</v>
      </c>
      <c r="M385" s="5" t="s">
        <v>602</v>
      </c>
      <c r="N385" s="5" t="s">
        <v>603</v>
      </c>
      <c r="O385" s="5" t="s">
        <v>442</v>
      </c>
      <c r="P385" s="5" t="s">
        <v>36</v>
      </c>
    </row>
    <row r="386" spans="1:16" ht="27.75" hidden="1" customHeight="1" x14ac:dyDescent="0.4">
      <c r="A386" s="13">
        <v>384</v>
      </c>
      <c r="B386" s="13" t="s">
        <v>69</v>
      </c>
      <c r="C386" s="13"/>
      <c r="D386" s="13"/>
      <c r="E386" s="6"/>
      <c r="F386" s="7"/>
      <c r="G386" s="14" t="s">
        <v>28</v>
      </c>
      <c r="H386" s="15">
        <v>1</v>
      </c>
      <c r="I386" s="16"/>
      <c r="J386" s="16"/>
      <c r="K386" s="11" t="str">
        <f t="shared" ca="1" si="16"/>
        <v/>
      </c>
      <c r="L386" s="12" t="str">
        <f t="shared" ca="1" si="17"/>
        <v>🟢 مكتملة</v>
      </c>
      <c r="M386" s="13"/>
      <c r="N386" s="13"/>
      <c r="O386" s="13"/>
      <c r="P386" s="13" t="s">
        <v>36</v>
      </c>
    </row>
    <row r="387" spans="1:16" ht="27.75" hidden="1" customHeight="1" x14ac:dyDescent="0.4">
      <c r="A387" s="13">
        <v>385</v>
      </c>
      <c r="B387" s="5" t="s">
        <v>309</v>
      </c>
      <c r="C387" s="5" t="s">
        <v>18</v>
      </c>
      <c r="D387" s="5" t="s">
        <v>19</v>
      </c>
      <c r="E387" s="6"/>
      <c r="F387" s="7"/>
      <c r="G387" s="8" t="s">
        <v>28</v>
      </c>
      <c r="H387" s="9">
        <v>1</v>
      </c>
      <c r="I387" s="10"/>
      <c r="J387" s="10"/>
      <c r="K387" s="11" t="str">
        <f t="shared" ref="K387:K416" ca="1" si="18">IFERROR(IF(J387="","",IF(G387="مكتملة","✓",J387-TODAY())),"تاريخ غير صحيح")</f>
        <v/>
      </c>
      <c r="L387" s="12" t="str">
        <f t="shared" ref="L387:L416" ca="1" si="19">IF(G387="مكتملة","🟢 مكتملة",IF(G387="لم تبدأ","⚪ لم تبدأ",IF(J387&lt;TODAY(),"🔴 متأخرة",IF(AND(I387&lt;&gt;"",J387&lt;&gt;"",H387&lt;&gt;"",((TODAY()-I387)/(J387-I387)-H387)&gt;0.3),"🟡 تحتاج متابعة","🟢 في المسار"))))</f>
        <v>🟢 مكتملة</v>
      </c>
      <c r="M387" s="5" t="s">
        <v>310</v>
      </c>
      <c r="N387" s="5" t="s">
        <v>311</v>
      </c>
      <c r="O387" s="5"/>
      <c r="P387" s="5" t="s">
        <v>36</v>
      </c>
    </row>
    <row r="388" spans="1:16" ht="27.75" hidden="1" customHeight="1" x14ac:dyDescent="0.4">
      <c r="A388" s="13">
        <v>386</v>
      </c>
      <c r="B388" s="13" t="s">
        <v>645</v>
      </c>
      <c r="C388" s="13" t="s">
        <v>55</v>
      </c>
      <c r="D388" s="13" t="s">
        <v>124</v>
      </c>
      <c r="E388" s="6"/>
      <c r="F388" s="7"/>
      <c r="G388" s="14" t="s">
        <v>28</v>
      </c>
      <c r="H388" s="15">
        <v>1</v>
      </c>
      <c r="I388" s="16"/>
      <c r="J388" s="16"/>
      <c r="K388" s="11" t="str">
        <f t="shared" ca="1" si="18"/>
        <v/>
      </c>
      <c r="L388" s="12" t="str">
        <f t="shared" ca="1" si="19"/>
        <v>🟢 مكتملة</v>
      </c>
      <c r="M388" s="13" t="s">
        <v>646</v>
      </c>
      <c r="N388" s="13" t="s">
        <v>647</v>
      </c>
      <c r="O388" s="13" t="s">
        <v>136</v>
      </c>
      <c r="P388" s="13" t="s">
        <v>36</v>
      </c>
    </row>
    <row r="389" spans="1:16" ht="27.75" hidden="1" customHeight="1" x14ac:dyDescent="0.4">
      <c r="A389" s="5">
        <v>387</v>
      </c>
      <c r="B389" s="5" t="s">
        <v>128</v>
      </c>
      <c r="C389" s="5" t="s">
        <v>55</v>
      </c>
      <c r="D389" s="5" t="s">
        <v>56</v>
      </c>
      <c r="E389" s="6"/>
      <c r="F389" s="7"/>
      <c r="G389" s="14" t="s">
        <v>28</v>
      </c>
      <c r="H389" s="9">
        <v>1</v>
      </c>
      <c r="I389" s="10"/>
      <c r="J389" s="10"/>
      <c r="K389" s="11" t="str">
        <f t="shared" ca="1" si="18"/>
        <v/>
      </c>
      <c r="L389" s="12" t="str">
        <f t="shared" ca="1" si="19"/>
        <v>🟢 مكتملة</v>
      </c>
      <c r="M389" s="5" t="s">
        <v>129</v>
      </c>
      <c r="N389" s="5" t="s">
        <v>130</v>
      </c>
      <c r="O389" s="5"/>
      <c r="P389" s="5" t="s">
        <v>36</v>
      </c>
    </row>
    <row r="390" spans="1:16" ht="27.75" customHeight="1" x14ac:dyDescent="0.4">
      <c r="A390" s="5">
        <v>388</v>
      </c>
      <c r="B390" s="13" t="s">
        <v>216</v>
      </c>
      <c r="C390" s="13" t="s">
        <v>55</v>
      </c>
      <c r="D390" s="13" t="s">
        <v>217</v>
      </c>
      <c r="E390" s="6" t="s">
        <v>842</v>
      </c>
      <c r="F390" s="7" t="s">
        <v>844</v>
      </c>
      <c r="G390" s="8" t="s">
        <v>20</v>
      </c>
      <c r="H390" s="15">
        <v>0.95</v>
      </c>
      <c r="I390" s="16"/>
      <c r="J390" s="16">
        <v>46203</v>
      </c>
      <c r="K390" s="11">
        <f t="shared" ca="1" si="18"/>
        <v>89</v>
      </c>
      <c r="L390" s="12" t="str">
        <f t="shared" ca="1" si="19"/>
        <v>🟢 في المسار</v>
      </c>
      <c r="M390" s="21" t="s">
        <v>218</v>
      </c>
      <c r="N390" s="13" t="s">
        <v>854</v>
      </c>
      <c r="O390" s="13"/>
      <c r="P390" s="13" t="s">
        <v>36</v>
      </c>
    </row>
    <row r="391" spans="1:16" ht="27.75" hidden="1" customHeight="1" x14ac:dyDescent="0.4">
      <c r="A391" s="13">
        <v>389</v>
      </c>
      <c r="B391" s="5" t="s">
        <v>764</v>
      </c>
      <c r="C391" s="5"/>
      <c r="D391" s="5" t="s">
        <v>765</v>
      </c>
      <c r="E391" s="6"/>
      <c r="F391" s="7"/>
      <c r="G391" s="8" t="s">
        <v>28</v>
      </c>
      <c r="H391" s="9">
        <v>1</v>
      </c>
      <c r="I391" s="10"/>
      <c r="J391" s="10"/>
      <c r="K391" s="11" t="str">
        <f t="shared" ca="1" si="18"/>
        <v/>
      </c>
      <c r="L391" s="12" t="str">
        <f t="shared" ca="1" si="19"/>
        <v>🟢 مكتملة</v>
      </c>
      <c r="M391" s="5" t="s">
        <v>766</v>
      </c>
      <c r="N391" s="5" t="s">
        <v>767</v>
      </c>
      <c r="O391" s="5"/>
      <c r="P391" s="5" t="s">
        <v>36</v>
      </c>
    </row>
    <row r="392" spans="1:16" ht="27.75" hidden="1" customHeight="1" x14ac:dyDescent="0.4">
      <c r="A392" s="13">
        <v>390</v>
      </c>
      <c r="B392" s="13" t="s">
        <v>768</v>
      </c>
      <c r="C392" s="13" t="s">
        <v>26</v>
      </c>
      <c r="D392" s="13" t="s">
        <v>186</v>
      </c>
      <c r="E392" s="6"/>
      <c r="F392" s="7"/>
      <c r="G392" s="14" t="s">
        <v>28</v>
      </c>
      <c r="H392" s="15">
        <v>1</v>
      </c>
      <c r="I392" s="16"/>
      <c r="J392" s="16"/>
      <c r="K392" s="11" t="str">
        <f t="shared" ca="1" si="18"/>
        <v/>
      </c>
      <c r="L392" s="12" t="str">
        <f t="shared" ca="1" si="19"/>
        <v>🟢 مكتملة</v>
      </c>
      <c r="M392" s="13" t="s">
        <v>769</v>
      </c>
      <c r="N392" s="13" t="s">
        <v>95</v>
      </c>
      <c r="O392" s="13"/>
      <c r="P392" s="13" t="s">
        <v>36</v>
      </c>
    </row>
    <row r="393" spans="1:16" ht="27.75" hidden="1" customHeight="1" x14ac:dyDescent="0.4">
      <c r="A393" s="5">
        <v>391</v>
      </c>
      <c r="B393" s="5" t="s">
        <v>351</v>
      </c>
      <c r="C393" s="5" t="s">
        <v>26</v>
      </c>
      <c r="D393" s="5" t="s">
        <v>27</v>
      </c>
      <c r="E393" s="6"/>
      <c r="F393" s="7"/>
      <c r="G393" s="14" t="s">
        <v>28</v>
      </c>
      <c r="H393" s="9">
        <v>1</v>
      </c>
      <c r="I393" s="10"/>
      <c r="J393" s="10"/>
      <c r="K393" s="11" t="str">
        <f t="shared" ca="1" si="18"/>
        <v/>
      </c>
      <c r="L393" s="12" t="str">
        <f t="shared" ca="1" si="19"/>
        <v>🟢 مكتملة</v>
      </c>
      <c r="M393" s="5" t="s">
        <v>352</v>
      </c>
      <c r="N393" s="5" t="s">
        <v>353</v>
      </c>
      <c r="O393" s="5"/>
      <c r="P393" s="5" t="s">
        <v>36</v>
      </c>
    </row>
    <row r="394" spans="1:16" ht="27.75" customHeight="1" x14ac:dyDescent="0.4">
      <c r="A394" s="5">
        <v>392</v>
      </c>
      <c r="B394" s="13" t="s">
        <v>206</v>
      </c>
      <c r="C394" s="13" t="s">
        <v>26</v>
      </c>
      <c r="D394" s="13" t="s">
        <v>56</v>
      </c>
      <c r="E394" s="6" t="s">
        <v>842</v>
      </c>
      <c r="F394" s="7" t="s">
        <v>844</v>
      </c>
      <c r="G394" s="8" t="s">
        <v>20</v>
      </c>
      <c r="H394" s="15"/>
      <c r="I394" s="16"/>
      <c r="J394" s="16">
        <v>46203</v>
      </c>
      <c r="K394" s="11">
        <f t="shared" ca="1" si="18"/>
        <v>89</v>
      </c>
      <c r="L394" s="12" t="str">
        <f t="shared" ca="1" si="19"/>
        <v>🟢 في المسار</v>
      </c>
      <c r="M394" s="21" t="s">
        <v>207</v>
      </c>
      <c r="N394" s="13" t="s">
        <v>855</v>
      </c>
      <c r="O394" s="13"/>
      <c r="P394" s="13" t="s">
        <v>36</v>
      </c>
    </row>
    <row r="395" spans="1:16" ht="27.75" hidden="1" customHeight="1" x14ac:dyDescent="0.4">
      <c r="A395" s="13">
        <v>393</v>
      </c>
      <c r="B395" s="5" t="s">
        <v>587</v>
      </c>
      <c r="C395" s="5" t="s">
        <v>26</v>
      </c>
      <c r="D395" s="5" t="s">
        <v>27</v>
      </c>
      <c r="E395" s="6"/>
      <c r="F395" s="7"/>
      <c r="G395" s="14" t="s">
        <v>28</v>
      </c>
      <c r="H395" s="9">
        <v>1</v>
      </c>
      <c r="I395" s="10"/>
      <c r="J395" s="10"/>
      <c r="K395" s="11" t="str">
        <f t="shared" ca="1" si="18"/>
        <v/>
      </c>
      <c r="L395" s="12" t="str">
        <f t="shared" ca="1" si="19"/>
        <v>🟢 مكتملة</v>
      </c>
      <c r="M395" s="5" t="s">
        <v>588</v>
      </c>
      <c r="N395" s="5" t="s">
        <v>44</v>
      </c>
      <c r="O395" s="5"/>
      <c r="P395" s="5" t="s">
        <v>36</v>
      </c>
    </row>
    <row r="396" spans="1:16" ht="27.75" hidden="1" customHeight="1" x14ac:dyDescent="0.4">
      <c r="A396" s="13">
        <v>394</v>
      </c>
      <c r="B396" s="13" t="s">
        <v>226</v>
      </c>
      <c r="C396" s="13" t="s">
        <v>26</v>
      </c>
      <c r="D396" s="13" t="s">
        <v>27</v>
      </c>
      <c r="E396" s="6"/>
      <c r="F396" s="7"/>
      <c r="G396" s="14" t="s">
        <v>28</v>
      </c>
      <c r="H396" s="15">
        <v>1</v>
      </c>
      <c r="I396" s="16"/>
      <c r="J396" s="16"/>
      <c r="K396" s="11" t="str">
        <f t="shared" ca="1" si="18"/>
        <v/>
      </c>
      <c r="L396" s="12" t="str">
        <f t="shared" ca="1" si="19"/>
        <v>🟢 مكتملة</v>
      </c>
      <c r="M396" s="13" t="s">
        <v>227</v>
      </c>
      <c r="N396" s="13"/>
      <c r="O396" s="13"/>
      <c r="P396" s="13" t="s">
        <v>36</v>
      </c>
    </row>
    <row r="397" spans="1:16" ht="27.75" hidden="1" customHeight="1" x14ac:dyDescent="0.4">
      <c r="A397" s="13">
        <v>395</v>
      </c>
      <c r="B397" s="5" t="s">
        <v>493</v>
      </c>
      <c r="C397" s="5" t="s">
        <v>26</v>
      </c>
      <c r="D397" s="5" t="s">
        <v>27</v>
      </c>
      <c r="E397" s="6" t="s">
        <v>840</v>
      </c>
      <c r="F397" s="7" t="s">
        <v>844</v>
      </c>
      <c r="G397" s="8" t="s">
        <v>28</v>
      </c>
      <c r="H397" s="9"/>
      <c r="I397" s="10"/>
      <c r="J397" s="10"/>
      <c r="K397" s="11" t="str">
        <f t="shared" ca="1" si="18"/>
        <v/>
      </c>
      <c r="L397" s="12" t="str">
        <f t="shared" ca="1" si="19"/>
        <v>🟢 مكتملة</v>
      </c>
      <c r="M397" s="20" t="s">
        <v>860</v>
      </c>
      <c r="N397" s="5"/>
      <c r="O397" s="5"/>
      <c r="P397" s="5" t="s">
        <v>36</v>
      </c>
    </row>
    <row r="398" spans="1:16" ht="27.75" hidden="1" customHeight="1" x14ac:dyDescent="0.4">
      <c r="A398" s="13">
        <v>396</v>
      </c>
      <c r="B398" s="13" t="s">
        <v>641</v>
      </c>
      <c r="C398" s="13" t="s">
        <v>26</v>
      </c>
      <c r="D398" s="13" t="s">
        <v>27</v>
      </c>
      <c r="E398" s="6"/>
      <c r="F398" s="7"/>
      <c r="G398" s="14" t="s">
        <v>28</v>
      </c>
      <c r="H398" s="15">
        <v>1</v>
      </c>
      <c r="I398" s="16"/>
      <c r="J398" s="16"/>
      <c r="K398" s="11" t="str">
        <f t="shared" ca="1" si="18"/>
        <v/>
      </c>
      <c r="L398" s="12" t="str">
        <f t="shared" ca="1" si="19"/>
        <v>🟢 مكتملة</v>
      </c>
      <c r="M398" s="13"/>
      <c r="N398" s="13" t="s">
        <v>642</v>
      </c>
      <c r="O398" s="13"/>
      <c r="P398" s="13" t="s">
        <v>36</v>
      </c>
    </row>
    <row r="399" spans="1:16" ht="27.75" hidden="1" customHeight="1" x14ac:dyDescent="0.4">
      <c r="A399" s="5">
        <v>397</v>
      </c>
      <c r="B399" s="5" t="s">
        <v>62</v>
      </c>
      <c r="C399" s="5" t="s">
        <v>63</v>
      </c>
      <c r="D399" s="5" t="s">
        <v>64</v>
      </c>
      <c r="E399" s="6"/>
      <c r="F399" s="7"/>
      <c r="G399" s="14" t="s">
        <v>28</v>
      </c>
      <c r="H399" s="9">
        <v>1</v>
      </c>
      <c r="I399" s="10"/>
      <c r="J399" s="10"/>
      <c r="K399" s="11" t="str">
        <f t="shared" ca="1" si="18"/>
        <v/>
      </c>
      <c r="L399" s="12" t="str">
        <f t="shared" ca="1" si="19"/>
        <v>🟢 مكتملة</v>
      </c>
      <c r="M399" s="5" t="s">
        <v>65</v>
      </c>
      <c r="N399" s="5" t="s">
        <v>66</v>
      </c>
      <c r="O399" s="5"/>
      <c r="P399" s="5" t="s">
        <v>36</v>
      </c>
    </row>
    <row r="400" spans="1:16" ht="27.75" customHeight="1" x14ac:dyDescent="0.4">
      <c r="A400" s="5">
        <v>398</v>
      </c>
      <c r="B400" s="13" t="s">
        <v>501</v>
      </c>
      <c r="C400" s="13" t="s">
        <v>31</v>
      </c>
      <c r="D400" s="13" t="s">
        <v>100</v>
      </c>
      <c r="E400" s="6" t="s">
        <v>842</v>
      </c>
      <c r="F400" s="7" t="s">
        <v>844</v>
      </c>
      <c r="G400" s="8" t="s">
        <v>20</v>
      </c>
      <c r="H400" s="15">
        <v>1</v>
      </c>
      <c r="I400" s="16"/>
      <c r="J400" s="16">
        <v>46112</v>
      </c>
      <c r="K400" s="11">
        <f t="shared" ca="1" si="18"/>
        <v>-2</v>
      </c>
      <c r="L400" s="12" t="str">
        <f t="shared" ca="1" si="19"/>
        <v>🔴 متأخرة</v>
      </c>
      <c r="M400" s="21" t="s">
        <v>502</v>
      </c>
      <c r="N400" s="13"/>
      <c r="O400" s="13"/>
      <c r="P400" s="13" t="s">
        <v>36</v>
      </c>
    </row>
    <row r="401" spans="1:16" ht="27.75" hidden="1" customHeight="1" x14ac:dyDescent="0.4">
      <c r="A401" s="13">
        <v>399</v>
      </c>
      <c r="B401" s="5" t="s">
        <v>526</v>
      </c>
      <c r="C401" s="5" t="s">
        <v>31</v>
      </c>
      <c r="D401" s="5" t="s">
        <v>76</v>
      </c>
      <c r="E401" s="6"/>
      <c r="F401" s="7"/>
      <c r="G401" s="14" t="s">
        <v>28</v>
      </c>
      <c r="H401" s="9">
        <v>1</v>
      </c>
      <c r="I401" s="10"/>
      <c r="J401" s="10">
        <v>45981</v>
      </c>
      <c r="K401" s="11" t="str">
        <f t="shared" ca="1" si="18"/>
        <v>✓</v>
      </c>
      <c r="L401" s="12" t="str">
        <f t="shared" ca="1" si="19"/>
        <v>🟢 مكتملة</v>
      </c>
      <c r="M401" s="5"/>
      <c r="N401" s="5" t="s">
        <v>95</v>
      </c>
      <c r="O401" s="5"/>
      <c r="P401" s="5" t="s">
        <v>36</v>
      </c>
    </row>
    <row r="402" spans="1:16" ht="27.75" hidden="1" customHeight="1" x14ac:dyDescent="0.4">
      <c r="A402" s="13">
        <v>400</v>
      </c>
      <c r="B402" s="13" t="s">
        <v>482</v>
      </c>
      <c r="C402" s="13" t="s">
        <v>42</v>
      </c>
      <c r="D402" s="13" t="s">
        <v>43</v>
      </c>
      <c r="E402" s="6"/>
      <c r="F402" s="7"/>
      <c r="G402" s="8" t="s">
        <v>28</v>
      </c>
      <c r="H402" s="15">
        <v>1</v>
      </c>
      <c r="I402" s="16"/>
      <c r="J402" s="16">
        <v>45981</v>
      </c>
      <c r="K402" s="11" t="str">
        <f t="shared" ca="1" si="18"/>
        <v>✓</v>
      </c>
      <c r="L402" s="12" t="str">
        <f t="shared" ca="1" si="19"/>
        <v>🟢 مكتملة</v>
      </c>
      <c r="M402" s="13"/>
      <c r="N402" s="13" t="s">
        <v>95</v>
      </c>
      <c r="O402" s="13"/>
      <c r="P402" s="13" t="s">
        <v>36</v>
      </c>
    </row>
    <row r="403" spans="1:16" ht="27.75" hidden="1" customHeight="1" x14ac:dyDescent="0.4">
      <c r="A403" s="5">
        <v>401</v>
      </c>
      <c r="B403" s="5" t="s">
        <v>763</v>
      </c>
      <c r="C403" s="5" t="s">
        <v>31</v>
      </c>
      <c r="D403" s="5" t="s">
        <v>32</v>
      </c>
      <c r="E403" s="6"/>
      <c r="F403" s="7"/>
      <c r="G403" s="14" t="s">
        <v>28</v>
      </c>
      <c r="H403" s="9">
        <v>1</v>
      </c>
      <c r="I403" s="10"/>
      <c r="J403" s="10">
        <v>45976</v>
      </c>
      <c r="K403" s="11" t="str">
        <f t="shared" ca="1" si="18"/>
        <v>✓</v>
      </c>
      <c r="L403" s="12" t="str">
        <f t="shared" ca="1" si="19"/>
        <v>🟢 مكتملة</v>
      </c>
      <c r="M403" s="5"/>
      <c r="N403" s="5" t="s">
        <v>95</v>
      </c>
      <c r="O403" s="5"/>
      <c r="P403" s="5" t="s">
        <v>36</v>
      </c>
    </row>
    <row r="404" spans="1:16" ht="27.75" hidden="1" customHeight="1" x14ac:dyDescent="0.4">
      <c r="A404" s="5">
        <v>402</v>
      </c>
      <c r="B404" s="13" t="s">
        <v>387</v>
      </c>
      <c r="C404" s="13" t="s">
        <v>26</v>
      </c>
      <c r="D404" s="13" t="s">
        <v>27</v>
      </c>
      <c r="E404" s="6"/>
      <c r="F404" s="7"/>
      <c r="G404" s="14" t="s">
        <v>28</v>
      </c>
      <c r="H404" s="15">
        <v>1</v>
      </c>
      <c r="I404" s="16"/>
      <c r="J404" s="16">
        <v>45981</v>
      </c>
      <c r="K404" s="11" t="str">
        <f t="shared" ca="1" si="18"/>
        <v>✓</v>
      </c>
      <c r="L404" s="12" t="str">
        <f t="shared" ca="1" si="19"/>
        <v>🟢 مكتملة</v>
      </c>
      <c r="M404" s="13" t="s">
        <v>388</v>
      </c>
      <c r="N404" s="13" t="s">
        <v>317</v>
      </c>
      <c r="O404" s="13"/>
      <c r="P404" s="13" t="s">
        <v>36</v>
      </c>
    </row>
    <row r="405" spans="1:16" ht="27.75" hidden="1" customHeight="1" x14ac:dyDescent="0.4">
      <c r="A405" s="13">
        <v>403</v>
      </c>
      <c r="B405" s="5" t="s">
        <v>559</v>
      </c>
      <c r="C405" s="5" t="s">
        <v>26</v>
      </c>
      <c r="D405" s="5" t="s">
        <v>27</v>
      </c>
      <c r="E405" s="6"/>
      <c r="F405" s="7"/>
      <c r="G405" s="14" t="s">
        <v>28</v>
      </c>
      <c r="H405" s="9">
        <v>1</v>
      </c>
      <c r="I405" s="10"/>
      <c r="J405" s="10">
        <v>45981</v>
      </c>
      <c r="K405" s="11" t="str">
        <f t="shared" ca="1" si="18"/>
        <v>✓</v>
      </c>
      <c r="L405" s="12" t="str">
        <f t="shared" ca="1" si="19"/>
        <v>🟢 مكتملة</v>
      </c>
      <c r="M405" s="5"/>
      <c r="N405" s="5" t="s">
        <v>560</v>
      </c>
      <c r="O405" s="5"/>
      <c r="P405" s="5" t="s">
        <v>36</v>
      </c>
    </row>
    <row r="406" spans="1:16" ht="27.75" hidden="1" customHeight="1" x14ac:dyDescent="0.4">
      <c r="A406" s="13">
        <v>404</v>
      </c>
      <c r="B406" s="13" t="s">
        <v>166</v>
      </c>
      <c r="C406" s="13" t="s">
        <v>63</v>
      </c>
      <c r="D406" s="13" t="s">
        <v>64</v>
      </c>
      <c r="E406" s="6"/>
      <c r="F406" s="7"/>
      <c r="G406" s="14" t="s">
        <v>28</v>
      </c>
      <c r="H406" s="15">
        <v>1</v>
      </c>
      <c r="I406" s="16"/>
      <c r="J406" s="16">
        <v>45981</v>
      </c>
      <c r="K406" s="11" t="str">
        <f t="shared" ca="1" si="18"/>
        <v>✓</v>
      </c>
      <c r="L406" s="12" t="str">
        <f t="shared" ca="1" si="19"/>
        <v>🟢 مكتملة</v>
      </c>
      <c r="M406" s="13"/>
      <c r="N406" s="13" t="s">
        <v>167</v>
      </c>
      <c r="O406" s="13"/>
      <c r="P406" s="13" t="s">
        <v>36</v>
      </c>
    </row>
    <row r="407" spans="1:16" ht="27.75" customHeight="1" x14ac:dyDescent="0.4">
      <c r="A407" s="13">
        <v>405</v>
      </c>
      <c r="B407" s="5" t="s">
        <v>614</v>
      </c>
      <c r="C407" s="5" t="s">
        <v>55</v>
      </c>
      <c r="D407" s="5" t="s">
        <v>217</v>
      </c>
      <c r="E407" s="6" t="s">
        <v>853</v>
      </c>
      <c r="F407" s="7" t="s">
        <v>844</v>
      </c>
      <c r="G407" s="8" t="s">
        <v>20</v>
      </c>
      <c r="H407" s="9"/>
      <c r="I407" s="10"/>
      <c r="J407" s="10"/>
      <c r="K407" s="11" t="str">
        <f t="shared" ca="1" si="18"/>
        <v/>
      </c>
      <c r="L407" s="12" t="str">
        <f t="shared" ca="1" si="19"/>
        <v>🔴 متأخرة</v>
      </c>
      <c r="M407" s="20" t="s">
        <v>615</v>
      </c>
      <c r="N407" s="5" t="s">
        <v>856</v>
      </c>
      <c r="O407" s="5"/>
      <c r="P407" s="5" t="s">
        <v>36</v>
      </c>
    </row>
    <row r="408" spans="1:16" ht="27.75" hidden="1" customHeight="1" x14ac:dyDescent="0.4">
      <c r="A408" s="13">
        <v>406</v>
      </c>
      <c r="B408" s="13" t="s">
        <v>344</v>
      </c>
      <c r="C408" s="13"/>
      <c r="D408" s="13"/>
      <c r="E408" s="6"/>
      <c r="F408" s="7"/>
      <c r="G408" s="14" t="s">
        <v>28</v>
      </c>
      <c r="H408" s="15">
        <v>1</v>
      </c>
      <c r="I408" s="16"/>
      <c r="J408" s="16"/>
      <c r="K408" s="11" t="str">
        <f t="shared" ca="1" si="18"/>
        <v/>
      </c>
      <c r="L408" s="12" t="str">
        <f t="shared" ca="1" si="19"/>
        <v>🟢 مكتملة</v>
      </c>
      <c r="M408" s="13" t="s">
        <v>345</v>
      </c>
      <c r="N408" s="13"/>
      <c r="O408" s="13"/>
      <c r="P408" s="13" t="s">
        <v>36</v>
      </c>
    </row>
    <row r="409" spans="1:16" ht="27.75" hidden="1" customHeight="1" x14ac:dyDescent="0.4">
      <c r="A409" s="5">
        <v>407</v>
      </c>
      <c r="B409" s="5" t="s">
        <v>372</v>
      </c>
      <c r="C409" s="5" t="s">
        <v>55</v>
      </c>
      <c r="D409" s="5" t="s">
        <v>124</v>
      </c>
      <c r="E409" s="6"/>
      <c r="F409" s="7"/>
      <c r="G409" s="14" t="s">
        <v>28</v>
      </c>
      <c r="H409" s="9">
        <v>1</v>
      </c>
      <c r="I409" s="10"/>
      <c r="J409" s="10"/>
      <c r="K409" s="11" t="str">
        <f t="shared" ca="1" si="18"/>
        <v/>
      </c>
      <c r="L409" s="12" t="str">
        <f t="shared" ca="1" si="19"/>
        <v>🟢 مكتملة</v>
      </c>
      <c r="M409" s="5" t="s">
        <v>373</v>
      </c>
      <c r="N409" s="5"/>
      <c r="O409" s="5"/>
      <c r="P409" s="5" t="s">
        <v>36</v>
      </c>
    </row>
    <row r="410" spans="1:16" ht="27.75" customHeight="1" x14ac:dyDescent="0.4">
      <c r="A410" s="5">
        <v>408</v>
      </c>
      <c r="B410" s="13" t="s">
        <v>344</v>
      </c>
      <c r="C410" s="13" t="s">
        <v>42</v>
      </c>
      <c r="D410" s="13" t="s">
        <v>346</v>
      </c>
      <c r="E410" s="6" t="s">
        <v>840</v>
      </c>
      <c r="F410" s="7" t="s">
        <v>841</v>
      </c>
      <c r="G410" s="8" t="s">
        <v>20</v>
      </c>
      <c r="H410" s="15"/>
      <c r="I410" s="16"/>
      <c r="J410" s="16">
        <v>46159</v>
      </c>
      <c r="K410" s="11">
        <f t="shared" ca="1" si="18"/>
        <v>45</v>
      </c>
      <c r="L410" s="12" t="str">
        <f t="shared" ca="1" si="19"/>
        <v>🟢 في المسار</v>
      </c>
      <c r="M410" s="21" t="s">
        <v>20</v>
      </c>
      <c r="N410" s="13" t="s">
        <v>347</v>
      </c>
      <c r="O410" s="13"/>
      <c r="P410" s="13" t="s">
        <v>36</v>
      </c>
    </row>
    <row r="411" spans="1:16" ht="27.75" hidden="1" customHeight="1" x14ac:dyDescent="0.4">
      <c r="A411" s="13">
        <v>409</v>
      </c>
      <c r="B411" s="5" t="s">
        <v>372</v>
      </c>
      <c r="C411" s="5" t="s">
        <v>55</v>
      </c>
      <c r="D411" s="5" t="s">
        <v>124</v>
      </c>
      <c r="E411" s="6"/>
      <c r="F411" s="7"/>
      <c r="G411" s="8" t="s">
        <v>28</v>
      </c>
      <c r="H411" s="9"/>
      <c r="I411" s="10"/>
      <c r="J411" s="10"/>
      <c r="K411" s="11" t="str">
        <f t="shared" ca="1" si="18"/>
        <v/>
      </c>
      <c r="L411" s="12" t="str">
        <f t="shared" ca="1" si="19"/>
        <v>🟢 مكتملة</v>
      </c>
      <c r="M411" s="5" t="s">
        <v>374</v>
      </c>
      <c r="N411" s="5" t="s">
        <v>857</v>
      </c>
      <c r="O411" s="5"/>
      <c r="P411" s="5" t="s">
        <v>36</v>
      </c>
    </row>
    <row r="412" spans="1:16" ht="27.75" customHeight="1" x14ac:dyDescent="0.4">
      <c r="A412" s="13">
        <v>410</v>
      </c>
      <c r="B412" s="13" t="s">
        <v>156</v>
      </c>
      <c r="C412" s="13" t="s">
        <v>31</v>
      </c>
      <c r="D412" s="13" t="s">
        <v>76</v>
      </c>
      <c r="E412" s="6" t="s">
        <v>853</v>
      </c>
      <c r="F412" s="7" t="s">
        <v>845</v>
      </c>
      <c r="G412" s="8" t="s">
        <v>20</v>
      </c>
      <c r="H412" s="15"/>
      <c r="I412" s="16"/>
      <c r="J412" s="16">
        <v>46091</v>
      </c>
      <c r="K412" s="11">
        <f t="shared" ca="1" si="18"/>
        <v>-23</v>
      </c>
      <c r="L412" s="12" t="str">
        <f t="shared" ca="1" si="19"/>
        <v>🔴 متأخرة</v>
      </c>
      <c r="M412" s="21"/>
      <c r="N412" s="13"/>
      <c r="O412" s="13"/>
      <c r="P412" s="13" t="s">
        <v>36</v>
      </c>
    </row>
    <row r="413" spans="1:16" ht="27.75" customHeight="1" x14ac:dyDescent="0.4">
      <c r="A413" s="5">
        <v>411</v>
      </c>
      <c r="B413" s="5" t="s">
        <v>233</v>
      </c>
      <c r="C413" s="5" t="s">
        <v>50</v>
      </c>
      <c r="D413" s="5" t="s">
        <v>234</v>
      </c>
      <c r="E413" s="6" t="s">
        <v>842</v>
      </c>
      <c r="F413" s="7" t="s">
        <v>845</v>
      </c>
      <c r="G413" s="8" t="s">
        <v>20</v>
      </c>
      <c r="H413" s="9"/>
      <c r="I413" s="10"/>
      <c r="J413" s="10">
        <v>46112</v>
      </c>
      <c r="K413" s="11">
        <f t="shared" ca="1" si="18"/>
        <v>-2</v>
      </c>
      <c r="L413" s="12" t="str">
        <f t="shared" ca="1" si="19"/>
        <v>🔴 متأخرة</v>
      </c>
      <c r="M413" s="20" t="s">
        <v>235</v>
      </c>
      <c r="N413" s="5" t="s">
        <v>236</v>
      </c>
      <c r="O413" s="5"/>
      <c r="P413" s="5" t="s">
        <v>36</v>
      </c>
    </row>
    <row r="414" spans="1:16" ht="27.75" customHeight="1" x14ac:dyDescent="0.4">
      <c r="A414" s="5">
        <v>412</v>
      </c>
      <c r="B414" s="13" t="s">
        <v>494</v>
      </c>
      <c r="C414" s="13" t="s">
        <v>31</v>
      </c>
      <c r="D414" s="13" t="s">
        <v>76</v>
      </c>
      <c r="E414" s="6" t="s">
        <v>840</v>
      </c>
      <c r="F414" s="7" t="s">
        <v>841</v>
      </c>
      <c r="G414" s="8" t="s">
        <v>20</v>
      </c>
      <c r="H414" s="15"/>
      <c r="I414" s="16"/>
      <c r="J414" s="16">
        <v>46203</v>
      </c>
      <c r="K414" s="11">
        <f t="shared" ca="1" si="18"/>
        <v>89</v>
      </c>
      <c r="L414" s="12" t="str">
        <f t="shared" ca="1" si="19"/>
        <v>🟢 في المسار</v>
      </c>
      <c r="M414" s="21" t="s">
        <v>495</v>
      </c>
      <c r="N414" s="13"/>
      <c r="O414" s="13"/>
      <c r="P414" s="13" t="s">
        <v>36</v>
      </c>
    </row>
    <row r="415" spans="1:16" ht="27.75" customHeight="1" x14ac:dyDescent="0.4">
      <c r="A415" s="13">
        <v>413</v>
      </c>
      <c r="B415" s="5" t="s">
        <v>534</v>
      </c>
      <c r="C415" s="5" t="s">
        <v>31</v>
      </c>
      <c r="D415" s="5" t="s">
        <v>76</v>
      </c>
      <c r="E415" s="6" t="s">
        <v>840</v>
      </c>
      <c r="F415" s="7" t="s">
        <v>845</v>
      </c>
      <c r="G415" s="8" t="s">
        <v>20</v>
      </c>
      <c r="H415" s="9"/>
      <c r="I415" s="10"/>
      <c r="J415" s="10">
        <v>46387</v>
      </c>
      <c r="K415" s="11">
        <f t="shared" ca="1" si="18"/>
        <v>273</v>
      </c>
      <c r="L415" s="12" t="str">
        <f t="shared" ca="1" si="19"/>
        <v>🟢 في المسار</v>
      </c>
      <c r="M415" s="20" t="s">
        <v>535</v>
      </c>
      <c r="N415" s="5" t="s">
        <v>536</v>
      </c>
      <c r="O415" s="5"/>
      <c r="P415" s="5" t="s">
        <v>36</v>
      </c>
    </row>
    <row r="416" spans="1:16" ht="27.75" customHeight="1" x14ac:dyDescent="0.4">
      <c r="A416" s="13">
        <v>414</v>
      </c>
      <c r="B416" s="13" t="s">
        <v>731</v>
      </c>
      <c r="C416" s="13" t="s">
        <v>26</v>
      </c>
      <c r="D416" s="13" t="s">
        <v>27</v>
      </c>
      <c r="E416" s="6" t="s">
        <v>853</v>
      </c>
      <c r="F416" s="7" t="s">
        <v>843</v>
      </c>
      <c r="G416" s="8" t="s">
        <v>20</v>
      </c>
      <c r="H416" s="15"/>
      <c r="I416" s="16"/>
      <c r="J416" s="16">
        <v>46112</v>
      </c>
      <c r="K416" s="11">
        <f t="shared" ca="1" si="18"/>
        <v>-2</v>
      </c>
      <c r="L416" s="12" t="str">
        <f t="shared" ca="1" si="19"/>
        <v>🔴 متأخرة</v>
      </c>
      <c r="M416" s="21" t="s">
        <v>859</v>
      </c>
      <c r="N416" s="13"/>
      <c r="O416" s="13"/>
      <c r="P416" s="13" t="s">
        <v>36</v>
      </c>
    </row>
    <row r="417" spans="1:16" ht="27.75" customHeight="1" x14ac:dyDescent="0.4">
      <c r="A417" s="13">
        <v>414</v>
      </c>
      <c r="B417" s="13" t="s">
        <v>867</v>
      </c>
      <c r="C417" s="13" t="s">
        <v>31</v>
      </c>
      <c r="D417" s="13" t="s">
        <v>76</v>
      </c>
      <c r="E417" s="6" t="s">
        <v>840</v>
      </c>
      <c r="F417" s="7" t="s">
        <v>844</v>
      </c>
      <c r="G417" s="8" t="s">
        <v>20</v>
      </c>
      <c r="H417" s="15"/>
      <c r="I417" s="16"/>
      <c r="J417" s="16">
        <v>46122</v>
      </c>
      <c r="K417" s="11">
        <f t="shared" ref="K417" ca="1" si="20">IFERROR(IF(J417="","",IF(G417="مكتملة","✓",J417-TODAY())),"تاريخ غير صحيح")</f>
        <v>8</v>
      </c>
      <c r="L417" s="12" t="str">
        <f t="shared" ref="L417" ca="1" si="21">IF(G417="مكتملة","🟢 مكتملة",IF(G417="لم تبدأ","⚪ لم تبدأ",IF(J417&lt;TODAY(),"🔴 متأخرة",IF(AND(I417&lt;&gt;"",J417&lt;&gt;"",H417&lt;&gt;"",((TODAY()-I417)/(J417-I417)-H417)&gt;0.3),"🟡 تحتاج متابعة","🟢 في المسار"))))</f>
        <v>🟢 في المسار</v>
      </c>
      <c r="M417" s="21" t="s">
        <v>868</v>
      </c>
      <c r="N417" s="13"/>
      <c r="O417" s="13"/>
      <c r="P417" s="13" t="s">
        <v>36</v>
      </c>
    </row>
  </sheetData>
  <autoFilter ref="A2:P416" xr:uid="{00000000-0001-0000-0000-000000000000}">
    <filterColumn colId="11">
      <filters>
        <filter val="🔴 متأخرة"/>
        <filter val="🟢 في المسار"/>
      </filters>
    </filterColumn>
    <filterColumn colId="15">
      <filters>
        <filter val="2026 Tasks"/>
      </filters>
    </filterColumn>
  </autoFilter>
  <mergeCells count="1">
    <mergeCell ref="A1:P1"/>
  </mergeCells>
  <conditionalFormatting sqref="A3:P416">
    <cfRule type="expression" dxfId="21" priority="5">
      <formula>AND($J3&lt;TODAY(),$G3&lt;&gt;"مكتملة")</formula>
    </cfRule>
  </conditionalFormatting>
  <conditionalFormatting sqref="A417:P417">
    <cfRule type="expression" dxfId="20" priority="1">
      <formula>AND($J417&lt;TODAY(),$G417&lt;&gt;"مكتملة")</formula>
    </cfRule>
  </conditionalFormatting>
  <conditionalFormatting sqref="L3:L417">
    <cfRule type="expression" dxfId="19" priority="2">
      <formula>LEFT(L3,1)="🔴"</formula>
    </cfRule>
    <cfRule type="expression" dxfId="18" priority="3">
      <formula>LEFT(L3,1)="🟡"</formula>
    </cfRule>
    <cfRule type="expression" dxfId="17" priority="4">
      <formula>LEFT(L3,1)="🟢"</formula>
    </cfRule>
  </conditionalFormatting>
  <dataValidations count="3">
    <dataValidation type="list" allowBlank="1" sqref="E323:E417" xr:uid="{D1AC6C1F-5A8B-4449-95E5-B04603C4215F}">
      <formula1>"P1 - عاجل,P2 - مهم,P3 - عادي"</formula1>
      <formula2>0</formula2>
    </dataValidation>
    <dataValidation type="list" allowBlank="1" sqref="F3:F417" xr:uid="{00000000-0002-0000-0000-000000000000}">
      <formula1>"نمو الإيرادات,الامتثال والمخاطر,التميز التشغيلي,التحول الرقمي,الكفاءات والأفراد"</formula1>
      <formula2>0</formula2>
    </dataValidation>
    <dataValidation type="list" allowBlank="1" showErrorMessage="1" errorTitle="قيمة غير صحيحة" error="يرجى اختيار الأولوية من القائمة" sqref="E3:E322" xr:uid="{00000000-0002-0000-0000-000001000000}">
      <formula1>"P1 - عاجل,P2 - مهم,P3 - عادي"</formula1>
      <formula2>0</formula2>
    </dataValidation>
  </dataValidations>
  <pageMargins left="0.75" right="0.75" top="1" bottom="1" header="0.511811023622047" footer="0.511811023622047"/>
  <pageSetup paperSize="9" orientation="portrait" horizontalDpi="300" verticalDpi="300"/>
  <headerFooter>
    <oddHeader>&amp;C&amp;"Aptos"&amp;12&amp;K0000FF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48A81"/>
  </sheetPr>
  <dimension ref="A1:P105"/>
  <sheetViews>
    <sheetView rightToLeft="1" tabSelected="1" zoomScale="98" zoomScaleNormal="100" workbookViewId="0">
      <pane ySplit="2" topLeftCell="A95" activePane="bottomLeft" state="frozen"/>
      <selection pane="bottomLeft" activeCell="E106" sqref="E106"/>
    </sheetView>
  </sheetViews>
  <sheetFormatPr defaultColWidth="8.6640625" defaultRowHeight="16.2" x14ac:dyDescent="0.45"/>
  <cols>
    <col min="1" max="1" width="5.44140625" style="4" customWidth="1"/>
    <col min="2" max="2" width="44.6640625" style="4" bestFit="1" customWidth="1"/>
    <col min="3" max="3" width="13.109375" style="4" bestFit="1" customWidth="1"/>
    <col min="4" max="4" width="13.44140625" style="4" bestFit="1" customWidth="1"/>
    <col min="5" max="5" width="11.5546875" style="4" bestFit="1" customWidth="1"/>
    <col min="6" max="6" width="21.33203125" style="4" bestFit="1" customWidth="1"/>
    <col min="7" max="7" width="10.109375" style="4" bestFit="1" customWidth="1"/>
    <col min="8" max="8" width="12.88671875" style="4" customWidth="1"/>
    <col min="9" max="9" width="14.88671875" style="4" bestFit="1" customWidth="1"/>
    <col min="10" max="10" width="15.88671875" style="4" bestFit="1" customWidth="1"/>
    <col min="11" max="11" width="16.6640625" style="4" bestFit="1" customWidth="1"/>
    <col min="12" max="12" width="14.88671875" style="18" customWidth="1"/>
    <col min="13" max="13" width="47.109375" style="22" customWidth="1"/>
    <col min="14" max="14" width="54.88671875" style="4" customWidth="1"/>
    <col min="15" max="15" width="27.109375" style="4" bestFit="1" customWidth="1"/>
    <col min="16" max="16" width="17.33203125" style="4" bestFit="1" customWidth="1"/>
    <col min="17" max="16384" width="8.6640625" style="4"/>
  </cols>
  <sheetData>
    <row r="1" spans="1:16" ht="52.5" customHeight="1" x14ac:dyDescent="0.4">
      <c r="A1" s="61"/>
      <c r="B1" s="61"/>
      <c r="C1" s="61"/>
      <c r="D1" s="61"/>
      <c r="E1" s="61"/>
      <c r="F1" s="61"/>
      <c r="G1" s="64" t="s">
        <v>789</v>
      </c>
      <c r="H1" s="64"/>
      <c r="I1" s="64"/>
      <c r="J1" s="64"/>
      <c r="K1" s="64"/>
      <c r="L1" s="64"/>
      <c r="M1" s="62"/>
      <c r="N1" s="61"/>
      <c r="O1" s="61"/>
      <c r="P1" s="61"/>
    </row>
    <row r="2" spans="1:16" s="19" customFormat="1" ht="31.5" customHeight="1" x14ac:dyDescent="0.35">
      <c r="A2" s="46" t="s">
        <v>1</v>
      </c>
      <c r="B2" s="47" t="s">
        <v>2</v>
      </c>
      <c r="C2" s="47" t="s">
        <v>3</v>
      </c>
      <c r="D2" s="47" t="s">
        <v>858</v>
      </c>
      <c r="E2" s="47" t="s">
        <v>5</v>
      </c>
      <c r="F2" s="47" t="s">
        <v>6</v>
      </c>
      <c r="G2" s="47" t="s">
        <v>7</v>
      </c>
      <c r="H2" s="47" t="s">
        <v>8</v>
      </c>
      <c r="I2" s="47" t="s">
        <v>9</v>
      </c>
      <c r="J2" s="47" t="s">
        <v>10</v>
      </c>
      <c r="K2" s="47" t="s">
        <v>11</v>
      </c>
      <c r="L2" s="47" t="s">
        <v>12</v>
      </c>
      <c r="M2" s="48" t="s">
        <v>13</v>
      </c>
      <c r="N2" s="47" t="s">
        <v>14</v>
      </c>
      <c r="O2" s="47" t="s">
        <v>15</v>
      </c>
      <c r="P2" s="49" t="s">
        <v>16</v>
      </c>
    </row>
    <row r="3" spans="1:16" ht="30" customHeight="1" x14ac:dyDescent="0.4">
      <c r="A3" s="42">
        <v>1</v>
      </c>
      <c r="B3" s="5" t="s">
        <v>30</v>
      </c>
      <c r="C3" s="5" t="s">
        <v>31</v>
      </c>
      <c r="D3" s="5" t="s">
        <v>32</v>
      </c>
      <c r="E3" s="6" t="s">
        <v>840</v>
      </c>
      <c r="F3" s="7" t="s">
        <v>841</v>
      </c>
      <c r="G3" s="8" t="s">
        <v>20</v>
      </c>
      <c r="H3" s="9">
        <v>0.5</v>
      </c>
      <c r="I3" s="10">
        <v>45736</v>
      </c>
      <c r="J3" s="10">
        <v>45777</v>
      </c>
      <c r="K3" s="11">
        <f t="shared" ref="K3:K34" ca="1" si="0">IFERROR(IF(J3="","",IF(G3="مكتملة","✓",J3-TODAY())),"تاريخ غير صحيح")</f>
        <v>-337</v>
      </c>
      <c r="L3" s="12" t="str">
        <f t="shared" ref="L3:L34" ca="1" si="1">IF(G3="مكتملة","🟢 مكتملة",IF(G3="لم تبدأ","⚪ لم تبدأ",IF(J3&lt;TODAY(),"🔴 متأخرة",IF(AND(I3&lt;&gt;"",J3&lt;&gt;"",H3&lt;&gt;"",((TODAY()-I3)/(J3-I3)-H3)&gt;0.3),"🟡 تحتاج متابعة","🟢 في المسار"))))</f>
        <v>🔴 متأخرة</v>
      </c>
      <c r="M3" s="20" t="s">
        <v>839</v>
      </c>
      <c r="N3" s="5"/>
      <c r="O3" s="5"/>
      <c r="P3" s="44" t="s">
        <v>36</v>
      </c>
    </row>
    <row r="4" spans="1:16" ht="30" hidden="1" customHeight="1" x14ac:dyDescent="0.4">
      <c r="A4" s="43">
        <v>2</v>
      </c>
      <c r="B4" s="13" t="s">
        <v>91</v>
      </c>
      <c r="C4" s="13" t="s">
        <v>38</v>
      </c>
      <c r="D4" s="13" t="s">
        <v>39</v>
      </c>
      <c r="E4" s="6"/>
      <c r="F4" s="7"/>
      <c r="G4" s="14" t="s">
        <v>28</v>
      </c>
      <c r="H4" s="15">
        <v>1</v>
      </c>
      <c r="I4" s="16">
        <v>45735</v>
      </c>
      <c r="J4" s="16">
        <v>45777</v>
      </c>
      <c r="K4" s="11" t="str">
        <f t="shared" ca="1" si="0"/>
        <v>✓</v>
      </c>
      <c r="L4" s="12" t="str">
        <f t="shared" ca="1" si="1"/>
        <v>🟢 مكتملة</v>
      </c>
      <c r="M4" s="13" t="s">
        <v>94</v>
      </c>
      <c r="N4" s="13" t="s">
        <v>95</v>
      </c>
      <c r="O4" s="13"/>
      <c r="P4" s="45" t="s">
        <v>36</v>
      </c>
    </row>
    <row r="5" spans="1:16" ht="30" hidden="1" customHeight="1" x14ac:dyDescent="0.4">
      <c r="A5" s="42">
        <v>3</v>
      </c>
      <c r="B5" s="5" t="s">
        <v>131</v>
      </c>
      <c r="C5" s="5" t="s">
        <v>42</v>
      </c>
      <c r="D5" s="5" t="s">
        <v>43</v>
      </c>
      <c r="E5" s="6"/>
      <c r="F5" s="7"/>
      <c r="G5" s="14" t="s">
        <v>28</v>
      </c>
      <c r="H5" s="9">
        <v>1</v>
      </c>
      <c r="I5" s="10"/>
      <c r="J5" s="10">
        <v>45778</v>
      </c>
      <c r="K5" s="11" t="str">
        <f t="shared" ca="1" si="0"/>
        <v>✓</v>
      </c>
      <c r="L5" s="12" t="str">
        <f t="shared" ca="1" si="1"/>
        <v>🟢 مكتملة</v>
      </c>
      <c r="M5" s="5" t="s">
        <v>132</v>
      </c>
      <c r="N5" s="5" t="s">
        <v>95</v>
      </c>
      <c r="O5" s="5"/>
      <c r="P5" s="44" t="s">
        <v>36</v>
      </c>
    </row>
    <row r="6" spans="1:16" ht="30" hidden="1" customHeight="1" x14ac:dyDescent="0.4">
      <c r="A6" s="43">
        <v>4</v>
      </c>
      <c r="B6" s="13" t="s">
        <v>139</v>
      </c>
      <c r="C6" s="13" t="s">
        <v>38</v>
      </c>
      <c r="D6" s="13" t="s">
        <v>39</v>
      </c>
      <c r="E6" s="6"/>
      <c r="F6" s="7"/>
      <c r="G6" s="14" t="s">
        <v>28</v>
      </c>
      <c r="H6" s="15">
        <v>1</v>
      </c>
      <c r="I6" s="16"/>
      <c r="J6" s="16"/>
      <c r="K6" s="11" t="str">
        <f t="shared" ca="1" si="0"/>
        <v/>
      </c>
      <c r="L6" s="12" t="str">
        <f t="shared" ca="1" si="1"/>
        <v>🟢 مكتملة</v>
      </c>
      <c r="M6" s="13" t="s">
        <v>143</v>
      </c>
      <c r="N6" s="13" t="s">
        <v>95</v>
      </c>
      <c r="O6" s="13"/>
      <c r="P6" s="45" t="s">
        <v>36</v>
      </c>
    </row>
    <row r="7" spans="1:16" ht="30" hidden="1" customHeight="1" x14ac:dyDescent="0.4">
      <c r="A7" s="42">
        <v>5</v>
      </c>
      <c r="B7" s="5" t="s">
        <v>84</v>
      </c>
      <c r="C7" s="5" t="s">
        <v>42</v>
      </c>
      <c r="D7" s="5" t="s">
        <v>43</v>
      </c>
      <c r="E7" s="6"/>
      <c r="F7" s="7"/>
      <c r="G7" s="14" t="s">
        <v>28</v>
      </c>
      <c r="H7" s="9">
        <v>1</v>
      </c>
      <c r="I7" s="10">
        <v>45757</v>
      </c>
      <c r="J7" s="10">
        <v>45761</v>
      </c>
      <c r="K7" s="11" t="str">
        <f t="shared" ca="1" si="0"/>
        <v>✓</v>
      </c>
      <c r="L7" s="12" t="str">
        <f t="shared" ca="1" si="1"/>
        <v>🟢 مكتملة</v>
      </c>
      <c r="M7" s="5" t="s">
        <v>85</v>
      </c>
      <c r="N7" s="5" t="s">
        <v>87</v>
      </c>
      <c r="O7" s="5"/>
      <c r="P7" s="44" t="s">
        <v>36</v>
      </c>
    </row>
    <row r="8" spans="1:16" ht="30" hidden="1" customHeight="1" x14ac:dyDescent="0.4">
      <c r="A8" s="43">
        <v>6</v>
      </c>
      <c r="B8" s="13" t="s">
        <v>551</v>
      </c>
      <c r="C8" s="13" t="s">
        <v>42</v>
      </c>
      <c r="D8" s="13" t="s">
        <v>43</v>
      </c>
      <c r="E8" s="6"/>
      <c r="F8" s="7"/>
      <c r="G8" s="14" t="s">
        <v>28</v>
      </c>
      <c r="H8" s="15">
        <v>1</v>
      </c>
      <c r="I8" s="16"/>
      <c r="J8" s="16">
        <v>45791</v>
      </c>
      <c r="K8" s="11" t="str">
        <f t="shared" ca="1" si="0"/>
        <v>✓</v>
      </c>
      <c r="L8" s="12" t="str">
        <f t="shared" ca="1" si="1"/>
        <v>🟢 مكتملة</v>
      </c>
      <c r="M8" s="13" t="s">
        <v>552</v>
      </c>
      <c r="N8" s="13" t="s">
        <v>553</v>
      </c>
      <c r="O8" s="13"/>
      <c r="P8" s="45" t="s">
        <v>36</v>
      </c>
    </row>
    <row r="9" spans="1:16" ht="30" hidden="1" customHeight="1" x14ac:dyDescent="0.4">
      <c r="A9" s="42">
        <v>7</v>
      </c>
      <c r="B9" s="5" t="s">
        <v>451</v>
      </c>
      <c r="C9" s="5" t="s">
        <v>26</v>
      </c>
      <c r="D9" s="5" t="s">
        <v>27</v>
      </c>
      <c r="E9" s="6"/>
      <c r="F9" s="7"/>
      <c r="G9" s="14" t="s">
        <v>28</v>
      </c>
      <c r="H9" s="9">
        <v>1</v>
      </c>
      <c r="I9" s="10"/>
      <c r="J9" s="10"/>
      <c r="K9" s="11" t="str">
        <f t="shared" ca="1" si="0"/>
        <v/>
      </c>
      <c r="L9" s="12" t="str">
        <f t="shared" ca="1" si="1"/>
        <v>🟢 مكتملة</v>
      </c>
      <c r="M9" s="5" t="s">
        <v>452</v>
      </c>
      <c r="N9" s="5" t="s">
        <v>453</v>
      </c>
      <c r="O9" s="5"/>
      <c r="P9" s="44" t="s">
        <v>36</v>
      </c>
    </row>
    <row r="10" spans="1:16" ht="30" customHeight="1" x14ac:dyDescent="0.4">
      <c r="A10" s="43">
        <v>8</v>
      </c>
      <c r="B10" s="13" t="s">
        <v>626</v>
      </c>
      <c r="C10" s="13" t="s">
        <v>26</v>
      </c>
      <c r="D10" s="13" t="s">
        <v>27</v>
      </c>
      <c r="E10" s="6" t="s">
        <v>842</v>
      </c>
      <c r="F10" s="7" t="s">
        <v>843</v>
      </c>
      <c r="G10" s="8" t="s">
        <v>874</v>
      </c>
      <c r="H10" s="15">
        <v>0.5</v>
      </c>
      <c r="I10" s="16"/>
      <c r="J10" s="16">
        <v>46387</v>
      </c>
      <c r="K10" s="11">
        <f t="shared" ca="1" si="0"/>
        <v>273</v>
      </c>
      <c r="L10" s="12" t="str">
        <f t="shared" ca="1" si="1"/>
        <v>🟢 في المسار</v>
      </c>
      <c r="M10" s="21" t="s">
        <v>629</v>
      </c>
      <c r="N10" s="13" t="s">
        <v>630</v>
      </c>
      <c r="O10" s="13"/>
      <c r="P10" s="45" t="s">
        <v>36</v>
      </c>
    </row>
    <row r="11" spans="1:16" ht="30" customHeight="1" x14ac:dyDescent="0.4">
      <c r="A11" s="42">
        <v>9</v>
      </c>
      <c r="B11" s="5" t="s">
        <v>294</v>
      </c>
      <c r="C11" s="5" t="s">
        <v>106</v>
      </c>
      <c r="D11" s="5" t="s">
        <v>106</v>
      </c>
      <c r="E11" s="6" t="s">
        <v>842</v>
      </c>
      <c r="F11" s="7" t="s">
        <v>843</v>
      </c>
      <c r="G11" s="8" t="s">
        <v>20</v>
      </c>
      <c r="H11" s="9">
        <v>0</v>
      </c>
      <c r="I11" s="10"/>
      <c r="J11" s="10">
        <v>46387</v>
      </c>
      <c r="K11" s="11">
        <f t="shared" ca="1" si="0"/>
        <v>273</v>
      </c>
      <c r="L11" s="12" t="str">
        <f t="shared" ca="1" si="1"/>
        <v>🟢 في المسار</v>
      </c>
      <c r="M11" s="20"/>
      <c r="N11" s="5" t="s">
        <v>296</v>
      </c>
      <c r="O11" s="5"/>
      <c r="P11" s="44" t="s">
        <v>36</v>
      </c>
    </row>
    <row r="12" spans="1:16" ht="30" hidden="1" customHeight="1" x14ac:dyDescent="0.4">
      <c r="A12" s="43">
        <v>10</v>
      </c>
      <c r="B12" s="13" t="s">
        <v>680</v>
      </c>
      <c r="C12" s="13" t="s">
        <v>55</v>
      </c>
      <c r="D12" s="13" t="s">
        <v>313</v>
      </c>
      <c r="E12" s="6"/>
      <c r="F12" s="7"/>
      <c r="G12" s="14" t="s">
        <v>28</v>
      </c>
      <c r="H12" s="15">
        <v>1</v>
      </c>
      <c r="I12" s="16"/>
      <c r="J12" s="16"/>
      <c r="K12" s="11" t="str">
        <f t="shared" ca="1" si="0"/>
        <v/>
      </c>
      <c r="L12" s="12" t="str">
        <f t="shared" ca="1" si="1"/>
        <v>🟢 مكتملة</v>
      </c>
      <c r="M12" s="13" t="s">
        <v>155</v>
      </c>
      <c r="N12" s="13"/>
      <c r="O12" s="13"/>
      <c r="P12" s="45" t="s">
        <v>36</v>
      </c>
    </row>
    <row r="13" spans="1:16" ht="30" customHeight="1" x14ac:dyDescent="0.4">
      <c r="A13" s="42">
        <v>11</v>
      </c>
      <c r="B13" s="5" t="s">
        <v>350</v>
      </c>
      <c r="C13" s="5" t="s">
        <v>42</v>
      </c>
      <c r="D13" s="5" t="s">
        <v>43</v>
      </c>
      <c r="E13" s="6" t="s">
        <v>840</v>
      </c>
      <c r="F13" s="7" t="s">
        <v>841</v>
      </c>
      <c r="G13" s="8" t="s">
        <v>20</v>
      </c>
      <c r="H13" s="9">
        <v>1</v>
      </c>
      <c r="I13" s="10"/>
      <c r="J13" s="10">
        <v>46022</v>
      </c>
      <c r="K13" s="11">
        <f t="shared" ca="1" si="0"/>
        <v>-92</v>
      </c>
      <c r="L13" s="12" t="str">
        <f t="shared" ca="1" si="1"/>
        <v>🔴 متأخرة</v>
      </c>
      <c r="M13" s="20" t="s">
        <v>875</v>
      </c>
      <c r="N13" s="5" t="s">
        <v>876</v>
      </c>
      <c r="O13" s="5"/>
      <c r="P13" s="44" t="s">
        <v>36</v>
      </c>
    </row>
    <row r="14" spans="1:16" ht="30" hidden="1" customHeight="1" x14ac:dyDescent="0.4">
      <c r="A14" s="43">
        <v>12</v>
      </c>
      <c r="B14" s="13" t="s">
        <v>448</v>
      </c>
      <c r="C14" s="13" t="s">
        <v>31</v>
      </c>
      <c r="D14" s="13" t="s">
        <v>76</v>
      </c>
      <c r="E14" s="6"/>
      <c r="F14" s="7"/>
      <c r="G14" s="14" t="s">
        <v>28</v>
      </c>
      <c r="H14" s="15">
        <v>1</v>
      </c>
      <c r="I14" s="16"/>
      <c r="J14" s="16"/>
      <c r="K14" s="11" t="str">
        <f t="shared" ca="1" si="0"/>
        <v/>
      </c>
      <c r="L14" s="12" t="str">
        <f t="shared" ca="1" si="1"/>
        <v>🟢 مكتملة</v>
      </c>
      <c r="M14" s="13" t="s">
        <v>449</v>
      </c>
      <c r="N14" s="13" t="s">
        <v>450</v>
      </c>
      <c r="O14" s="13"/>
      <c r="P14" s="45" t="s">
        <v>36</v>
      </c>
    </row>
    <row r="15" spans="1:16" ht="30" hidden="1" customHeight="1" x14ac:dyDescent="0.4">
      <c r="A15" s="42">
        <v>13</v>
      </c>
      <c r="B15" s="5" t="s">
        <v>137</v>
      </c>
      <c r="C15" s="5" t="s">
        <v>97</v>
      </c>
      <c r="D15" s="5" t="s">
        <v>98</v>
      </c>
      <c r="E15" s="6"/>
      <c r="F15" s="7"/>
      <c r="G15" s="14" t="s">
        <v>28</v>
      </c>
      <c r="H15" s="9">
        <v>1</v>
      </c>
      <c r="I15" s="10"/>
      <c r="J15" s="10"/>
      <c r="K15" s="11" t="str">
        <f t="shared" ca="1" si="0"/>
        <v/>
      </c>
      <c r="L15" s="12" t="str">
        <f t="shared" ca="1" si="1"/>
        <v>🟢 مكتملة</v>
      </c>
      <c r="M15" s="5" t="s">
        <v>138</v>
      </c>
      <c r="N15" s="5"/>
      <c r="O15" s="5"/>
      <c r="P15" s="44" t="s">
        <v>36</v>
      </c>
    </row>
    <row r="16" spans="1:16" ht="30" hidden="1" customHeight="1" x14ac:dyDescent="0.4">
      <c r="A16" s="43">
        <v>14</v>
      </c>
      <c r="B16" s="13" t="s">
        <v>741</v>
      </c>
      <c r="C16" s="13" t="s">
        <v>63</v>
      </c>
      <c r="D16" s="13" t="s">
        <v>240</v>
      </c>
      <c r="E16" s="6"/>
      <c r="F16" s="7"/>
      <c r="G16" s="14" t="s">
        <v>28</v>
      </c>
      <c r="H16" s="15">
        <v>1</v>
      </c>
      <c r="I16" s="16"/>
      <c r="J16" s="16">
        <v>45838</v>
      </c>
      <c r="K16" s="11" t="str">
        <f t="shared" ca="1" si="0"/>
        <v>✓</v>
      </c>
      <c r="L16" s="12" t="str">
        <f t="shared" ca="1" si="1"/>
        <v>🟢 مكتملة</v>
      </c>
      <c r="M16" s="13" t="s">
        <v>742</v>
      </c>
      <c r="N16" s="13"/>
      <c r="O16" s="13"/>
      <c r="P16" s="45" t="s">
        <v>36</v>
      </c>
    </row>
    <row r="17" spans="1:16" ht="30" hidden="1" customHeight="1" x14ac:dyDescent="0.4">
      <c r="A17" s="42">
        <v>15</v>
      </c>
      <c r="B17" s="5" t="s">
        <v>208</v>
      </c>
      <c r="C17" s="5" t="s">
        <v>38</v>
      </c>
      <c r="D17" s="5" t="s">
        <v>39</v>
      </c>
      <c r="E17" s="6"/>
      <c r="F17" s="7"/>
      <c r="G17" s="14" t="s">
        <v>28</v>
      </c>
      <c r="H17" s="9">
        <v>1</v>
      </c>
      <c r="I17" s="10"/>
      <c r="J17" s="10"/>
      <c r="K17" s="11" t="str">
        <f t="shared" ca="1" si="0"/>
        <v/>
      </c>
      <c r="L17" s="12" t="str">
        <f t="shared" ca="1" si="1"/>
        <v>🟢 مكتملة</v>
      </c>
      <c r="M17" s="5" t="s">
        <v>77</v>
      </c>
      <c r="N17" s="5"/>
      <c r="O17" s="5"/>
      <c r="P17" s="44" t="s">
        <v>36</v>
      </c>
    </row>
    <row r="18" spans="1:16" ht="30" hidden="1" customHeight="1" x14ac:dyDescent="0.4">
      <c r="A18" s="43">
        <v>16</v>
      </c>
      <c r="B18" s="13" t="s">
        <v>37</v>
      </c>
      <c r="C18" s="13" t="s">
        <v>38</v>
      </c>
      <c r="D18" s="13" t="s">
        <v>39</v>
      </c>
      <c r="E18" s="6"/>
      <c r="F18" s="7"/>
      <c r="G18" s="14" t="s">
        <v>28</v>
      </c>
      <c r="H18" s="15">
        <v>1</v>
      </c>
      <c r="I18" s="16"/>
      <c r="J18" s="16"/>
      <c r="K18" s="11" t="str">
        <f t="shared" ca="1" si="0"/>
        <v/>
      </c>
      <c r="L18" s="12" t="str">
        <f t="shared" ca="1" si="1"/>
        <v>🟢 مكتملة</v>
      </c>
      <c r="M18" s="13" t="s">
        <v>40</v>
      </c>
      <c r="N18" s="13"/>
      <c r="O18" s="13"/>
      <c r="P18" s="45" t="s">
        <v>36</v>
      </c>
    </row>
    <row r="19" spans="1:16" ht="30" hidden="1" customHeight="1" x14ac:dyDescent="0.4">
      <c r="A19" s="42">
        <v>17</v>
      </c>
      <c r="B19" s="5" t="s">
        <v>184</v>
      </c>
      <c r="C19" s="5" t="s">
        <v>38</v>
      </c>
      <c r="D19" s="5" t="s">
        <v>39</v>
      </c>
      <c r="E19" s="6"/>
      <c r="F19" s="7"/>
      <c r="G19" s="14" t="s">
        <v>28</v>
      </c>
      <c r="H19" s="9">
        <v>1</v>
      </c>
      <c r="I19" s="10"/>
      <c r="J19" s="10"/>
      <c r="K19" s="11" t="str">
        <f t="shared" ca="1" si="0"/>
        <v/>
      </c>
      <c r="L19" s="12" t="str">
        <f t="shared" ca="1" si="1"/>
        <v>🟢 مكتملة</v>
      </c>
      <c r="M19" s="5" t="s">
        <v>28</v>
      </c>
      <c r="N19" s="5"/>
      <c r="O19" s="5"/>
      <c r="P19" s="44" t="s">
        <v>36</v>
      </c>
    </row>
    <row r="20" spans="1:16" ht="30" hidden="1" customHeight="1" x14ac:dyDescent="0.4">
      <c r="A20" s="43">
        <v>18</v>
      </c>
      <c r="B20" s="13" t="s">
        <v>41</v>
      </c>
      <c r="C20" s="13" t="s">
        <v>42</v>
      </c>
      <c r="D20" s="13" t="s">
        <v>43</v>
      </c>
      <c r="E20" s="6"/>
      <c r="F20" s="7"/>
      <c r="G20" s="14" t="s">
        <v>28</v>
      </c>
      <c r="H20" s="15">
        <v>1</v>
      </c>
      <c r="I20" s="16"/>
      <c r="J20" s="16"/>
      <c r="K20" s="11" t="str">
        <f t="shared" ca="1" si="0"/>
        <v/>
      </c>
      <c r="L20" s="12" t="str">
        <f t="shared" ca="1" si="1"/>
        <v>🟢 مكتملة</v>
      </c>
      <c r="M20" s="13" t="s">
        <v>44</v>
      </c>
      <c r="N20" s="13"/>
      <c r="O20" s="13"/>
      <c r="P20" s="45" t="s">
        <v>36</v>
      </c>
    </row>
    <row r="21" spans="1:16" ht="30" hidden="1" customHeight="1" x14ac:dyDescent="0.4">
      <c r="A21" s="42">
        <v>19</v>
      </c>
      <c r="B21" s="5" t="s">
        <v>45</v>
      </c>
      <c r="C21" s="5" t="s">
        <v>42</v>
      </c>
      <c r="D21" s="5" t="s">
        <v>43</v>
      </c>
      <c r="E21" s="6"/>
      <c r="F21" s="7"/>
      <c r="G21" s="14" t="s">
        <v>28</v>
      </c>
      <c r="H21" s="9">
        <v>1</v>
      </c>
      <c r="I21" s="10"/>
      <c r="J21" s="10"/>
      <c r="K21" s="11" t="str">
        <f t="shared" ca="1" si="0"/>
        <v/>
      </c>
      <c r="L21" s="12" t="str">
        <f t="shared" ca="1" si="1"/>
        <v>🟢 مكتملة</v>
      </c>
      <c r="M21" s="5"/>
      <c r="N21" s="5"/>
      <c r="O21" s="5"/>
      <c r="P21" s="44" t="s">
        <v>36</v>
      </c>
    </row>
    <row r="22" spans="1:16" ht="30" hidden="1" customHeight="1" x14ac:dyDescent="0.4">
      <c r="A22" s="43">
        <v>20</v>
      </c>
      <c r="B22" s="13" t="s">
        <v>779</v>
      </c>
      <c r="C22" s="13" t="s">
        <v>31</v>
      </c>
      <c r="D22" s="13" t="s">
        <v>76</v>
      </c>
      <c r="E22" s="6"/>
      <c r="F22" s="7"/>
      <c r="G22" s="14" t="s">
        <v>28</v>
      </c>
      <c r="H22" s="15">
        <v>1</v>
      </c>
      <c r="I22" s="16"/>
      <c r="J22" s="16"/>
      <c r="K22" s="11" t="str">
        <f t="shared" ca="1" si="0"/>
        <v/>
      </c>
      <c r="L22" s="12" t="str">
        <f t="shared" ca="1" si="1"/>
        <v>🟢 مكتملة</v>
      </c>
      <c r="M22" s="13" t="s">
        <v>780</v>
      </c>
      <c r="N22" s="13" t="s">
        <v>95</v>
      </c>
      <c r="O22" s="13"/>
      <c r="P22" s="45" t="s">
        <v>36</v>
      </c>
    </row>
    <row r="23" spans="1:16" ht="30" hidden="1" customHeight="1" x14ac:dyDescent="0.4">
      <c r="A23" s="42">
        <v>21</v>
      </c>
      <c r="B23" s="5" t="s">
        <v>410</v>
      </c>
      <c r="C23" s="5" t="s">
        <v>31</v>
      </c>
      <c r="D23" s="5" t="s">
        <v>76</v>
      </c>
      <c r="E23" s="6"/>
      <c r="F23" s="7"/>
      <c r="G23" s="14" t="s">
        <v>28</v>
      </c>
      <c r="H23" s="9">
        <v>1</v>
      </c>
      <c r="I23" s="10"/>
      <c r="J23" s="10"/>
      <c r="K23" s="11" t="str">
        <f t="shared" ca="1" si="0"/>
        <v/>
      </c>
      <c r="L23" s="12" t="str">
        <f t="shared" ca="1" si="1"/>
        <v>🟢 مكتملة</v>
      </c>
      <c r="M23" s="5" t="s">
        <v>411</v>
      </c>
      <c r="N23" s="5"/>
      <c r="O23" s="5"/>
      <c r="P23" s="44" t="s">
        <v>36</v>
      </c>
    </row>
    <row r="24" spans="1:16" ht="30" hidden="1" customHeight="1" x14ac:dyDescent="0.4">
      <c r="A24" s="43">
        <v>22</v>
      </c>
      <c r="B24" s="13" t="s">
        <v>503</v>
      </c>
      <c r="C24" s="13" t="s">
        <v>31</v>
      </c>
      <c r="D24" s="13" t="s">
        <v>76</v>
      </c>
      <c r="E24" s="6"/>
      <c r="F24" s="7"/>
      <c r="G24" s="14" t="s">
        <v>28</v>
      </c>
      <c r="H24" s="15">
        <v>1</v>
      </c>
      <c r="I24" s="16"/>
      <c r="J24" s="16"/>
      <c r="K24" s="11" t="str">
        <f t="shared" ca="1" si="0"/>
        <v/>
      </c>
      <c r="L24" s="12" t="str">
        <f t="shared" ca="1" si="1"/>
        <v>🟢 مكتملة</v>
      </c>
      <c r="M24" s="13" t="s">
        <v>504</v>
      </c>
      <c r="N24" s="13" t="s">
        <v>317</v>
      </c>
      <c r="O24" s="13"/>
      <c r="P24" s="45" t="s">
        <v>36</v>
      </c>
    </row>
    <row r="25" spans="1:16" ht="30" hidden="1" customHeight="1" x14ac:dyDescent="0.4">
      <c r="A25" s="42">
        <v>23</v>
      </c>
      <c r="B25" s="5" t="s">
        <v>417</v>
      </c>
      <c r="C25" s="5" t="s">
        <v>63</v>
      </c>
      <c r="D25" s="5" t="s">
        <v>240</v>
      </c>
      <c r="E25" s="6"/>
      <c r="F25" s="7"/>
      <c r="G25" s="14" t="s">
        <v>28</v>
      </c>
      <c r="H25" s="9">
        <v>1</v>
      </c>
      <c r="I25" s="10"/>
      <c r="J25" s="10">
        <v>45823</v>
      </c>
      <c r="K25" s="11" t="str">
        <f t="shared" ca="1" si="0"/>
        <v>✓</v>
      </c>
      <c r="L25" s="12" t="str">
        <f t="shared" ca="1" si="1"/>
        <v>🟢 مكتملة</v>
      </c>
      <c r="M25" s="5" t="s">
        <v>418</v>
      </c>
      <c r="N25" s="5" t="s">
        <v>95</v>
      </c>
      <c r="O25" s="5"/>
      <c r="P25" s="44" t="s">
        <v>36</v>
      </c>
    </row>
    <row r="26" spans="1:16" ht="30" hidden="1" customHeight="1" x14ac:dyDescent="0.4">
      <c r="A26" s="43">
        <v>24</v>
      </c>
      <c r="B26" s="13" t="s">
        <v>461</v>
      </c>
      <c r="C26" s="13" t="s">
        <v>63</v>
      </c>
      <c r="D26" s="13" t="s">
        <v>240</v>
      </c>
      <c r="E26" s="6"/>
      <c r="F26" s="7"/>
      <c r="G26" s="14" t="s">
        <v>28</v>
      </c>
      <c r="H26" s="15">
        <v>1</v>
      </c>
      <c r="I26" s="16"/>
      <c r="J26" s="16">
        <v>45843</v>
      </c>
      <c r="K26" s="11" t="str">
        <f t="shared" ca="1" si="0"/>
        <v>✓</v>
      </c>
      <c r="L26" s="12" t="str">
        <f t="shared" ca="1" si="1"/>
        <v>🟢 مكتملة</v>
      </c>
      <c r="M26" s="13" t="s">
        <v>462</v>
      </c>
      <c r="N26" s="13" t="s">
        <v>155</v>
      </c>
      <c r="O26" s="13"/>
      <c r="P26" s="45" t="s">
        <v>36</v>
      </c>
    </row>
    <row r="27" spans="1:16" ht="30" hidden="1" customHeight="1" x14ac:dyDescent="0.4">
      <c r="A27" s="42">
        <v>25</v>
      </c>
      <c r="B27" s="5" t="s">
        <v>107</v>
      </c>
      <c r="C27" s="5" t="s">
        <v>55</v>
      </c>
      <c r="D27" s="5" t="s">
        <v>56</v>
      </c>
      <c r="E27" s="6"/>
      <c r="F27" s="7"/>
      <c r="G27" s="14" t="s">
        <v>28</v>
      </c>
      <c r="H27" s="9">
        <v>1</v>
      </c>
      <c r="I27" s="10"/>
      <c r="J27" s="10"/>
      <c r="K27" s="11" t="str">
        <f t="shared" ca="1" si="0"/>
        <v/>
      </c>
      <c r="L27" s="12" t="str">
        <f t="shared" ca="1" si="1"/>
        <v>🟢 مكتملة</v>
      </c>
      <c r="M27" s="5"/>
      <c r="N27" s="5" t="s">
        <v>108</v>
      </c>
      <c r="O27" s="5"/>
      <c r="P27" s="44" t="s">
        <v>36</v>
      </c>
    </row>
    <row r="28" spans="1:16" ht="30" hidden="1" customHeight="1" x14ac:dyDescent="0.4">
      <c r="A28" s="43">
        <v>26</v>
      </c>
      <c r="B28" s="13" t="s">
        <v>543</v>
      </c>
      <c r="C28" s="13" t="s">
        <v>63</v>
      </c>
      <c r="D28" s="13" t="s">
        <v>240</v>
      </c>
      <c r="E28" s="6"/>
      <c r="F28" s="7"/>
      <c r="G28" s="14" t="s">
        <v>28</v>
      </c>
      <c r="H28" s="15">
        <v>1</v>
      </c>
      <c r="I28" s="16"/>
      <c r="J28" s="16">
        <v>45838</v>
      </c>
      <c r="K28" s="11" t="str">
        <f t="shared" ca="1" si="0"/>
        <v>✓</v>
      </c>
      <c r="L28" s="12" t="str">
        <f t="shared" ca="1" si="1"/>
        <v>🟢 مكتملة</v>
      </c>
      <c r="M28" s="13" t="s">
        <v>544</v>
      </c>
      <c r="N28" s="13" t="s">
        <v>545</v>
      </c>
      <c r="O28" s="13"/>
      <c r="P28" s="45" t="s">
        <v>36</v>
      </c>
    </row>
    <row r="29" spans="1:16" ht="30" hidden="1" customHeight="1" x14ac:dyDescent="0.4">
      <c r="A29" s="42">
        <v>27</v>
      </c>
      <c r="B29" s="5" t="s">
        <v>144</v>
      </c>
      <c r="C29" s="5" t="s">
        <v>42</v>
      </c>
      <c r="D29" s="5" t="s">
        <v>43</v>
      </c>
      <c r="E29" s="6"/>
      <c r="F29" s="7"/>
      <c r="G29" s="14" t="s">
        <v>28</v>
      </c>
      <c r="H29" s="9">
        <v>1</v>
      </c>
      <c r="I29" s="10"/>
      <c r="J29" s="10">
        <v>45868</v>
      </c>
      <c r="K29" s="11" t="str">
        <f t="shared" ca="1" si="0"/>
        <v>✓</v>
      </c>
      <c r="L29" s="12" t="str">
        <f t="shared" ca="1" si="1"/>
        <v>🟢 مكتملة</v>
      </c>
      <c r="M29" s="5" t="s">
        <v>145</v>
      </c>
      <c r="N29" s="5" t="s">
        <v>146</v>
      </c>
      <c r="O29" s="5"/>
      <c r="P29" s="44" t="s">
        <v>36</v>
      </c>
    </row>
    <row r="30" spans="1:16" ht="30" hidden="1" customHeight="1" x14ac:dyDescent="0.4">
      <c r="A30" s="43">
        <v>28</v>
      </c>
      <c r="B30" s="13" t="s">
        <v>75</v>
      </c>
      <c r="C30" s="13" t="s">
        <v>31</v>
      </c>
      <c r="D30" s="13" t="s">
        <v>76</v>
      </c>
      <c r="E30" s="6"/>
      <c r="F30" s="7"/>
      <c r="G30" s="14" t="s">
        <v>28</v>
      </c>
      <c r="H30" s="15">
        <v>1</v>
      </c>
      <c r="I30" s="16"/>
      <c r="J30" s="16"/>
      <c r="K30" s="11" t="str">
        <f t="shared" ca="1" si="0"/>
        <v/>
      </c>
      <c r="L30" s="12" t="str">
        <f t="shared" ca="1" si="1"/>
        <v>🟢 مكتملة</v>
      </c>
      <c r="M30" s="13" t="s">
        <v>77</v>
      </c>
      <c r="N30" s="13" t="s">
        <v>78</v>
      </c>
      <c r="O30" s="13"/>
      <c r="P30" s="45" t="s">
        <v>36</v>
      </c>
    </row>
    <row r="31" spans="1:16" ht="30" hidden="1" customHeight="1" x14ac:dyDescent="0.4">
      <c r="A31" s="42">
        <v>29</v>
      </c>
      <c r="B31" s="5" t="s">
        <v>307</v>
      </c>
      <c r="C31" s="5" t="s">
        <v>26</v>
      </c>
      <c r="D31" s="5" t="s">
        <v>27</v>
      </c>
      <c r="E31" s="6"/>
      <c r="F31" s="7"/>
      <c r="G31" s="14" t="s">
        <v>28</v>
      </c>
      <c r="H31" s="9">
        <v>1</v>
      </c>
      <c r="I31" s="10"/>
      <c r="J31" s="10"/>
      <c r="K31" s="11" t="str">
        <f t="shared" ca="1" si="0"/>
        <v/>
      </c>
      <c r="L31" s="12" t="str">
        <f t="shared" ca="1" si="1"/>
        <v>🟢 مكتملة</v>
      </c>
      <c r="M31" s="5" t="s">
        <v>308</v>
      </c>
      <c r="N31" s="5" t="s">
        <v>155</v>
      </c>
      <c r="O31" s="5"/>
      <c r="P31" s="44" t="s">
        <v>36</v>
      </c>
    </row>
    <row r="32" spans="1:16" ht="30" hidden="1" customHeight="1" x14ac:dyDescent="0.4">
      <c r="A32" s="43">
        <v>30</v>
      </c>
      <c r="B32" s="13" t="s">
        <v>715</v>
      </c>
      <c r="C32" s="13" t="s">
        <v>42</v>
      </c>
      <c r="D32" s="13" t="s">
        <v>43</v>
      </c>
      <c r="E32" s="6"/>
      <c r="F32" s="7"/>
      <c r="G32" s="14" t="s">
        <v>28</v>
      </c>
      <c r="H32" s="15">
        <v>1</v>
      </c>
      <c r="I32" s="16"/>
      <c r="J32" s="16"/>
      <c r="K32" s="11" t="str">
        <f t="shared" ca="1" si="0"/>
        <v/>
      </c>
      <c r="L32" s="12" t="str">
        <f t="shared" ca="1" si="1"/>
        <v>🟢 مكتملة</v>
      </c>
      <c r="M32" s="13" t="s">
        <v>716</v>
      </c>
      <c r="N32" s="13" t="s">
        <v>717</v>
      </c>
      <c r="O32" s="13"/>
      <c r="P32" s="45" t="s">
        <v>36</v>
      </c>
    </row>
    <row r="33" spans="1:16" ht="30" hidden="1" customHeight="1" x14ac:dyDescent="0.4">
      <c r="A33" s="42">
        <v>31</v>
      </c>
      <c r="B33" s="5" t="s">
        <v>149</v>
      </c>
      <c r="C33" s="5" t="s">
        <v>38</v>
      </c>
      <c r="D33" s="5" t="s">
        <v>39</v>
      </c>
      <c r="E33" s="6"/>
      <c r="F33" s="7"/>
      <c r="G33" s="14" t="s">
        <v>28</v>
      </c>
      <c r="H33" s="9">
        <v>1</v>
      </c>
      <c r="I33" s="10"/>
      <c r="J33" s="10"/>
      <c r="K33" s="11" t="str">
        <f t="shared" ca="1" si="0"/>
        <v/>
      </c>
      <c r="L33" s="12" t="str">
        <f t="shared" ca="1" si="1"/>
        <v>🟢 مكتملة</v>
      </c>
      <c r="M33" s="5" t="s">
        <v>150</v>
      </c>
      <c r="N33" s="5" t="s">
        <v>151</v>
      </c>
      <c r="O33" s="5"/>
      <c r="P33" s="44" t="s">
        <v>36</v>
      </c>
    </row>
    <row r="34" spans="1:16" ht="30" hidden="1" customHeight="1" x14ac:dyDescent="0.4">
      <c r="A34" s="43">
        <v>32</v>
      </c>
      <c r="B34" s="13" t="s">
        <v>590</v>
      </c>
      <c r="C34" s="13" t="s">
        <v>42</v>
      </c>
      <c r="D34" s="13" t="s">
        <v>43</v>
      </c>
      <c r="E34" s="6"/>
      <c r="F34" s="7"/>
      <c r="G34" s="14" t="s">
        <v>28</v>
      </c>
      <c r="H34" s="15">
        <v>1</v>
      </c>
      <c r="I34" s="16"/>
      <c r="J34" s="16">
        <v>45918</v>
      </c>
      <c r="K34" s="11" t="str">
        <f t="shared" ca="1" si="0"/>
        <v>✓</v>
      </c>
      <c r="L34" s="12" t="str">
        <f t="shared" ca="1" si="1"/>
        <v>🟢 مكتملة</v>
      </c>
      <c r="M34" s="13" t="s">
        <v>155</v>
      </c>
      <c r="N34" s="13" t="s">
        <v>95</v>
      </c>
      <c r="O34" s="13"/>
      <c r="P34" s="45" t="s">
        <v>36</v>
      </c>
    </row>
    <row r="35" spans="1:16" ht="30" hidden="1" customHeight="1" x14ac:dyDescent="0.4">
      <c r="A35" s="42">
        <v>33</v>
      </c>
      <c r="B35" s="5" t="s">
        <v>231</v>
      </c>
      <c r="C35" s="5" t="s">
        <v>50</v>
      </c>
      <c r="D35" s="5" t="s">
        <v>113</v>
      </c>
      <c r="E35" s="6"/>
      <c r="F35" s="7"/>
      <c r="G35" s="14" t="s">
        <v>28</v>
      </c>
      <c r="H35" s="9">
        <v>1</v>
      </c>
      <c r="I35" s="10"/>
      <c r="J35" s="10">
        <v>45826</v>
      </c>
      <c r="K35" s="11" t="str">
        <f t="shared" ref="K35:K66" ca="1" si="2">IFERROR(IF(J35="","",IF(G35="مكتملة","✓",J35-TODAY())),"تاريخ غير صحيح")</f>
        <v>✓</v>
      </c>
      <c r="L35" s="12" t="str">
        <f t="shared" ref="L35:L66" ca="1" si="3">IF(G35="مكتملة","🟢 مكتملة",IF(G35="لم تبدأ","⚪ لم تبدأ",IF(J35&lt;TODAY(),"🔴 متأخرة",IF(AND(I35&lt;&gt;"",J35&lt;&gt;"",H35&lt;&gt;"",((TODAY()-I35)/(J35-I35)-H35)&gt;0.3),"🟡 تحتاج متابعة","🟢 في المسار"))))</f>
        <v>🟢 مكتملة</v>
      </c>
      <c r="M35" s="5" t="s">
        <v>232</v>
      </c>
      <c r="N35" s="5"/>
      <c r="O35" s="5"/>
      <c r="P35" s="44" t="s">
        <v>36</v>
      </c>
    </row>
    <row r="36" spans="1:16" ht="30" hidden="1" customHeight="1" x14ac:dyDescent="0.4">
      <c r="A36" s="43">
        <v>34</v>
      </c>
      <c r="B36" s="13" t="s">
        <v>593</v>
      </c>
      <c r="C36" s="13" t="s">
        <v>55</v>
      </c>
      <c r="D36" s="13" t="s">
        <v>56</v>
      </c>
      <c r="E36" s="6"/>
      <c r="F36" s="7"/>
      <c r="G36" s="14" t="s">
        <v>28</v>
      </c>
      <c r="H36" s="15">
        <v>1</v>
      </c>
      <c r="I36" s="16"/>
      <c r="J36" s="16">
        <v>45825</v>
      </c>
      <c r="K36" s="11" t="str">
        <f t="shared" ca="1" si="2"/>
        <v>✓</v>
      </c>
      <c r="L36" s="12" t="str">
        <f t="shared" ca="1" si="3"/>
        <v>🟢 مكتملة</v>
      </c>
      <c r="M36" s="13" t="s">
        <v>594</v>
      </c>
      <c r="N36" s="13" t="s">
        <v>595</v>
      </c>
      <c r="O36" s="13"/>
      <c r="P36" s="45" t="s">
        <v>36</v>
      </c>
    </row>
    <row r="37" spans="1:16" ht="30" hidden="1" customHeight="1" x14ac:dyDescent="0.4">
      <c r="A37" s="42">
        <v>35</v>
      </c>
      <c r="B37" s="5" t="s">
        <v>159</v>
      </c>
      <c r="C37" s="5" t="s">
        <v>31</v>
      </c>
      <c r="D37" s="5" t="s">
        <v>76</v>
      </c>
      <c r="E37" s="6"/>
      <c r="F37" s="7"/>
      <c r="G37" s="14" t="s">
        <v>28</v>
      </c>
      <c r="H37" s="9">
        <v>1</v>
      </c>
      <c r="I37" s="10"/>
      <c r="J37" s="10">
        <v>45826</v>
      </c>
      <c r="K37" s="11" t="str">
        <f t="shared" ca="1" si="2"/>
        <v>✓</v>
      </c>
      <c r="L37" s="12" t="str">
        <f t="shared" ca="1" si="3"/>
        <v>🟢 مكتملة</v>
      </c>
      <c r="M37" s="5"/>
      <c r="N37" s="5" t="s">
        <v>160</v>
      </c>
      <c r="O37" s="5"/>
      <c r="P37" s="44" t="s">
        <v>36</v>
      </c>
    </row>
    <row r="38" spans="1:16" ht="30" hidden="1" customHeight="1" x14ac:dyDescent="0.4">
      <c r="A38" s="43">
        <v>36</v>
      </c>
      <c r="B38" s="13" t="s">
        <v>469</v>
      </c>
      <c r="C38" s="13" t="s">
        <v>31</v>
      </c>
      <c r="D38" s="13" t="s">
        <v>76</v>
      </c>
      <c r="E38" s="6"/>
      <c r="F38" s="7"/>
      <c r="G38" s="14" t="s">
        <v>28</v>
      </c>
      <c r="H38" s="15">
        <v>1</v>
      </c>
      <c r="I38" s="16"/>
      <c r="J38" s="16"/>
      <c r="K38" s="11" t="str">
        <f t="shared" ca="1" si="2"/>
        <v/>
      </c>
      <c r="L38" s="12" t="str">
        <f t="shared" ca="1" si="3"/>
        <v>🟢 مكتملة</v>
      </c>
      <c r="M38" s="13" t="s">
        <v>470</v>
      </c>
      <c r="N38" s="13"/>
      <c r="O38" s="13"/>
      <c r="P38" s="45" t="s">
        <v>36</v>
      </c>
    </row>
    <row r="39" spans="1:16" ht="30" hidden="1" customHeight="1" x14ac:dyDescent="0.4">
      <c r="A39" s="42">
        <v>37</v>
      </c>
      <c r="B39" s="5" t="s">
        <v>652</v>
      </c>
      <c r="C39" s="5" t="s">
        <v>97</v>
      </c>
      <c r="D39" s="5" t="s">
        <v>98</v>
      </c>
      <c r="E39" s="6"/>
      <c r="F39" s="7"/>
      <c r="G39" s="14" t="s">
        <v>28</v>
      </c>
      <c r="H39" s="9">
        <v>1</v>
      </c>
      <c r="I39" s="10"/>
      <c r="J39" s="10">
        <v>45797</v>
      </c>
      <c r="K39" s="11" t="str">
        <f t="shared" ca="1" si="2"/>
        <v>✓</v>
      </c>
      <c r="L39" s="12" t="str">
        <f t="shared" ca="1" si="3"/>
        <v>🟢 مكتملة</v>
      </c>
      <c r="M39" s="5" t="s">
        <v>95</v>
      </c>
      <c r="N39" s="5"/>
      <c r="O39" s="5"/>
      <c r="P39" s="44" t="s">
        <v>36</v>
      </c>
    </row>
    <row r="40" spans="1:16" ht="30" hidden="1" customHeight="1" x14ac:dyDescent="0.4">
      <c r="A40" s="43">
        <v>38</v>
      </c>
      <c r="B40" s="13" t="s">
        <v>465</v>
      </c>
      <c r="C40" s="13" t="s">
        <v>31</v>
      </c>
      <c r="D40" s="13" t="s">
        <v>100</v>
      </c>
      <c r="E40" s="6"/>
      <c r="F40" s="7"/>
      <c r="G40" s="14" t="s">
        <v>28</v>
      </c>
      <c r="H40" s="15">
        <v>1</v>
      </c>
      <c r="I40" s="16"/>
      <c r="J40" s="16">
        <v>45841</v>
      </c>
      <c r="K40" s="11" t="str">
        <f t="shared" ca="1" si="2"/>
        <v>✓</v>
      </c>
      <c r="L40" s="12" t="str">
        <f t="shared" ca="1" si="3"/>
        <v>🟢 مكتملة</v>
      </c>
      <c r="M40" s="13"/>
      <c r="N40" s="13"/>
      <c r="O40" s="13"/>
      <c r="P40" s="45" t="s">
        <v>36</v>
      </c>
    </row>
    <row r="41" spans="1:16" ht="30" hidden="1" customHeight="1" x14ac:dyDescent="0.4">
      <c r="A41" s="42">
        <v>39</v>
      </c>
      <c r="B41" s="5" t="s">
        <v>96</v>
      </c>
      <c r="C41" s="5" t="s">
        <v>97</v>
      </c>
      <c r="D41" s="5" t="s">
        <v>98</v>
      </c>
      <c r="E41" s="6"/>
      <c r="F41" s="7"/>
      <c r="G41" s="14" t="s">
        <v>28</v>
      </c>
      <c r="H41" s="9">
        <v>1</v>
      </c>
      <c r="I41" s="10"/>
      <c r="J41" s="10">
        <v>45842</v>
      </c>
      <c r="K41" s="11" t="str">
        <f t="shared" ca="1" si="2"/>
        <v>✓</v>
      </c>
      <c r="L41" s="12" t="str">
        <f t="shared" ca="1" si="3"/>
        <v>🟢 مكتملة</v>
      </c>
      <c r="M41" s="5"/>
      <c r="N41" s="5"/>
      <c r="O41" s="5"/>
      <c r="P41" s="44" t="s">
        <v>36</v>
      </c>
    </row>
    <row r="42" spans="1:16" ht="30" hidden="1" customHeight="1" x14ac:dyDescent="0.4">
      <c r="A42" s="43">
        <v>40</v>
      </c>
      <c r="B42" s="13" t="s">
        <v>162</v>
      </c>
      <c r="C42" s="13" t="s">
        <v>31</v>
      </c>
      <c r="D42" s="13" t="s">
        <v>76</v>
      </c>
      <c r="E42" s="6"/>
      <c r="F42" s="7"/>
      <c r="G42" s="14" t="s">
        <v>28</v>
      </c>
      <c r="H42" s="15">
        <v>1</v>
      </c>
      <c r="I42" s="16"/>
      <c r="J42" s="16">
        <v>45848</v>
      </c>
      <c r="K42" s="11" t="str">
        <f t="shared" ca="1" si="2"/>
        <v>✓</v>
      </c>
      <c r="L42" s="12" t="str">
        <f t="shared" ca="1" si="3"/>
        <v>🟢 مكتملة</v>
      </c>
      <c r="M42" s="13" t="s">
        <v>163</v>
      </c>
      <c r="N42" s="13"/>
      <c r="O42" s="13"/>
      <c r="P42" s="45" t="s">
        <v>36</v>
      </c>
    </row>
    <row r="43" spans="1:16" ht="30" hidden="1" customHeight="1" x14ac:dyDescent="0.4">
      <c r="A43" s="42">
        <v>41</v>
      </c>
      <c r="B43" s="5" t="s">
        <v>459</v>
      </c>
      <c r="C43" s="5" t="s">
        <v>97</v>
      </c>
      <c r="D43" s="5" t="s">
        <v>98</v>
      </c>
      <c r="E43" s="6"/>
      <c r="F43" s="7"/>
      <c r="G43" s="14" t="s">
        <v>28</v>
      </c>
      <c r="H43" s="9">
        <v>1</v>
      </c>
      <c r="I43" s="10"/>
      <c r="J43" s="10">
        <v>45849</v>
      </c>
      <c r="K43" s="11" t="str">
        <f t="shared" ca="1" si="2"/>
        <v>✓</v>
      </c>
      <c r="L43" s="12" t="str">
        <f t="shared" ca="1" si="3"/>
        <v>🟢 مكتملة</v>
      </c>
      <c r="M43" s="5" t="s">
        <v>317</v>
      </c>
      <c r="N43" s="5"/>
      <c r="O43" s="5"/>
      <c r="P43" s="44" t="s">
        <v>36</v>
      </c>
    </row>
    <row r="44" spans="1:16" ht="30" hidden="1" customHeight="1" x14ac:dyDescent="0.4">
      <c r="A44" s="43">
        <v>42</v>
      </c>
      <c r="B44" s="13" t="s">
        <v>161</v>
      </c>
      <c r="C44" s="13" t="s">
        <v>31</v>
      </c>
      <c r="D44" s="13" t="s">
        <v>76</v>
      </c>
      <c r="E44" s="6"/>
      <c r="F44" s="7"/>
      <c r="G44" s="14" t="s">
        <v>28</v>
      </c>
      <c r="H44" s="15">
        <v>1</v>
      </c>
      <c r="I44" s="16"/>
      <c r="J44" s="16">
        <v>45879</v>
      </c>
      <c r="K44" s="11" t="str">
        <f t="shared" ca="1" si="2"/>
        <v>✓</v>
      </c>
      <c r="L44" s="12" t="str">
        <f t="shared" ca="1" si="3"/>
        <v>🟢 مكتملة</v>
      </c>
      <c r="M44" s="13"/>
      <c r="N44" s="13"/>
      <c r="O44" s="13"/>
      <c r="P44" s="45" t="s">
        <v>36</v>
      </c>
    </row>
    <row r="45" spans="1:16" ht="30" hidden="1" customHeight="1" x14ac:dyDescent="0.4">
      <c r="A45" s="42">
        <v>43</v>
      </c>
      <c r="B45" s="5" t="s">
        <v>460</v>
      </c>
      <c r="C45" s="5" t="s">
        <v>97</v>
      </c>
      <c r="D45" s="5" t="s">
        <v>98</v>
      </c>
      <c r="E45" s="6"/>
      <c r="F45" s="7"/>
      <c r="G45" s="14" t="s">
        <v>28</v>
      </c>
      <c r="H45" s="9">
        <v>1</v>
      </c>
      <c r="I45" s="10"/>
      <c r="J45" s="10">
        <v>45880</v>
      </c>
      <c r="K45" s="11" t="str">
        <f t="shared" ca="1" si="2"/>
        <v>✓</v>
      </c>
      <c r="L45" s="12" t="str">
        <f t="shared" ca="1" si="3"/>
        <v>🟢 مكتملة</v>
      </c>
      <c r="M45" s="5"/>
      <c r="N45" s="5"/>
      <c r="O45" s="5"/>
      <c r="P45" s="44" t="s">
        <v>36</v>
      </c>
    </row>
    <row r="46" spans="1:16" ht="30" customHeight="1" x14ac:dyDescent="0.4">
      <c r="A46" s="43">
        <v>44</v>
      </c>
      <c r="B46" s="13" t="s">
        <v>606</v>
      </c>
      <c r="C46" s="13" t="s">
        <v>26</v>
      </c>
      <c r="D46" s="13" t="s">
        <v>27</v>
      </c>
      <c r="E46" s="6" t="s">
        <v>842</v>
      </c>
      <c r="F46" s="7" t="s">
        <v>844</v>
      </c>
      <c r="G46" s="8" t="s">
        <v>20</v>
      </c>
      <c r="H46" s="15">
        <v>0.9</v>
      </c>
      <c r="I46" s="16"/>
      <c r="J46" s="16">
        <v>45888</v>
      </c>
      <c r="K46" s="11">
        <f t="shared" ca="1" si="2"/>
        <v>-226</v>
      </c>
      <c r="L46" s="12" t="str">
        <f t="shared" ca="1" si="3"/>
        <v>🔴 متأخرة</v>
      </c>
      <c r="M46" s="21" t="s">
        <v>608</v>
      </c>
      <c r="N46" s="13" t="s">
        <v>609</v>
      </c>
      <c r="O46" s="13"/>
      <c r="P46" s="45" t="s">
        <v>36</v>
      </c>
    </row>
    <row r="47" spans="1:16" ht="30" hidden="1" customHeight="1" x14ac:dyDescent="0.4">
      <c r="A47" s="42">
        <v>45</v>
      </c>
      <c r="B47" s="5" t="s">
        <v>610</v>
      </c>
      <c r="C47" s="5" t="s">
        <v>97</v>
      </c>
      <c r="D47" s="5" t="s">
        <v>98</v>
      </c>
      <c r="E47" s="6"/>
      <c r="F47" s="7"/>
      <c r="G47" s="14" t="s">
        <v>28</v>
      </c>
      <c r="H47" s="9">
        <v>1</v>
      </c>
      <c r="I47" s="10"/>
      <c r="J47" s="10"/>
      <c r="K47" s="11" t="str">
        <f t="shared" ca="1" si="2"/>
        <v/>
      </c>
      <c r="L47" s="12" t="str">
        <f t="shared" ca="1" si="3"/>
        <v>🟢 مكتملة</v>
      </c>
      <c r="M47" s="5" t="s">
        <v>611</v>
      </c>
      <c r="N47" s="5"/>
      <c r="O47" s="5" t="s">
        <v>136</v>
      </c>
      <c r="P47" s="44" t="s">
        <v>36</v>
      </c>
    </row>
    <row r="48" spans="1:16" ht="30" hidden="1" customHeight="1" x14ac:dyDescent="0.4">
      <c r="A48" s="43">
        <v>46</v>
      </c>
      <c r="B48" s="13" t="s">
        <v>522</v>
      </c>
      <c r="C48" s="13" t="s">
        <v>38</v>
      </c>
      <c r="D48" s="13" t="s">
        <v>39</v>
      </c>
      <c r="E48" s="6"/>
      <c r="F48" s="7"/>
      <c r="G48" s="14" t="s">
        <v>28</v>
      </c>
      <c r="H48" s="15">
        <v>1</v>
      </c>
      <c r="I48" s="16"/>
      <c r="J48" s="16"/>
      <c r="K48" s="11" t="str">
        <f t="shared" ca="1" si="2"/>
        <v/>
      </c>
      <c r="L48" s="12" t="str">
        <f t="shared" ca="1" si="3"/>
        <v>🟢 مكتملة</v>
      </c>
      <c r="M48" s="13" t="s">
        <v>523</v>
      </c>
      <c r="N48" s="13"/>
      <c r="O48" s="13"/>
      <c r="P48" s="45" t="s">
        <v>36</v>
      </c>
    </row>
    <row r="49" spans="1:16" ht="30" hidden="1" customHeight="1" x14ac:dyDescent="0.4">
      <c r="A49" s="42">
        <v>47</v>
      </c>
      <c r="B49" s="5" t="s">
        <v>496</v>
      </c>
      <c r="C49" s="5" t="s">
        <v>97</v>
      </c>
      <c r="D49" s="5" t="s">
        <v>98</v>
      </c>
      <c r="E49" s="6"/>
      <c r="F49" s="7"/>
      <c r="G49" s="14" t="s">
        <v>28</v>
      </c>
      <c r="H49" s="9">
        <v>1</v>
      </c>
      <c r="I49" s="10"/>
      <c r="J49" s="10"/>
      <c r="K49" s="11" t="str">
        <f t="shared" ca="1" si="2"/>
        <v/>
      </c>
      <c r="L49" s="12" t="str">
        <f t="shared" ca="1" si="3"/>
        <v>🟢 مكتملة</v>
      </c>
      <c r="M49" s="5" t="s">
        <v>97</v>
      </c>
      <c r="N49" s="5" t="s">
        <v>497</v>
      </c>
      <c r="O49" s="5"/>
      <c r="P49" s="44" t="s">
        <v>36</v>
      </c>
    </row>
    <row r="50" spans="1:16" ht="30" hidden="1" customHeight="1" x14ac:dyDescent="0.4">
      <c r="A50" s="43">
        <v>48</v>
      </c>
      <c r="B50" s="13" t="s">
        <v>59</v>
      </c>
      <c r="C50" s="13" t="s">
        <v>42</v>
      </c>
      <c r="D50" s="13"/>
      <c r="E50" s="6"/>
      <c r="F50" s="7"/>
      <c r="G50" s="14" t="s">
        <v>28</v>
      </c>
      <c r="H50" s="15">
        <v>1</v>
      </c>
      <c r="I50" s="16"/>
      <c r="J50" s="16"/>
      <c r="K50" s="11" t="str">
        <f t="shared" ca="1" si="2"/>
        <v/>
      </c>
      <c r="L50" s="12" t="str">
        <f t="shared" ca="1" si="3"/>
        <v>🟢 مكتملة</v>
      </c>
      <c r="M50" s="13" t="s">
        <v>60</v>
      </c>
      <c r="N50" s="13" t="s">
        <v>61</v>
      </c>
      <c r="O50" s="13"/>
      <c r="P50" s="45" t="s">
        <v>36</v>
      </c>
    </row>
    <row r="51" spans="1:16" ht="30" hidden="1" customHeight="1" x14ac:dyDescent="0.4">
      <c r="A51" s="42">
        <v>49</v>
      </c>
      <c r="B51" s="5" t="s">
        <v>133</v>
      </c>
      <c r="C51" s="5" t="s">
        <v>42</v>
      </c>
      <c r="D51" s="5" t="s">
        <v>43</v>
      </c>
      <c r="E51" s="6"/>
      <c r="F51" s="7"/>
      <c r="G51" s="14" t="s">
        <v>28</v>
      </c>
      <c r="H51" s="9">
        <v>1</v>
      </c>
      <c r="I51" s="10"/>
      <c r="J51" s="10"/>
      <c r="K51" s="11" t="str">
        <f t="shared" ca="1" si="2"/>
        <v/>
      </c>
      <c r="L51" s="12" t="str">
        <f t="shared" ca="1" si="3"/>
        <v>🟢 مكتملة</v>
      </c>
      <c r="M51" s="5" t="s">
        <v>134</v>
      </c>
      <c r="N51" s="5" t="s">
        <v>135</v>
      </c>
      <c r="O51" s="5" t="s">
        <v>136</v>
      </c>
      <c r="P51" s="44" t="s">
        <v>36</v>
      </c>
    </row>
    <row r="52" spans="1:16" ht="30" customHeight="1" x14ac:dyDescent="0.4">
      <c r="A52" s="43">
        <v>50</v>
      </c>
      <c r="B52" s="13" t="s">
        <v>509</v>
      </c>
      <c r="C52" s="13" t="s">
        <v>55</v>
      </c>
      <c r="D52" s="13" t="s">
        <v>56</v>
      </c>
      <c r="E52" s="6" t="s">
        <v>840</v>
      </c>
      <c r="F52" s="7" t="s">
        <v>845</v>
      </c>
      <c r="G52" s="8" t="s">
        <v>20</v>
      </c>
      <c r="H52" s="15">
        <v>0.5</v>
      </c>
      <c r="I52" s="16">
        <v>45888</v>
      </c>
      <c r="J52" s="10">
        <v>46022</v>
      </c>
      <c r="K52" s="11">
        <f t="shared" ca="1" si="2"/>
        <v>-92</v>
      </c>
      <c r="L52" s="12" t="str">
        <f t="shared" ca="1" si="3"/>
        <v>🔴 متأخرة</v>
      </c>
      <c r="M52" s="21" t="s">
        <v>510</v>
      </c>
      <c r="N52" s="13" t="s">
        <v>877</v>
      </c>
      <c r="O52" s="13"/>
      <c r="P52" s="45" t="s">
        <v>36</v>
      </c>
    </row>
    <row r="53" spans="1:16" ht="30" hidden="1" customHeight="1" x14ac:dyDescent="0.4">
      <c r="A53" s="42">
        <v>51</v>
      </c>
      <c r="B53" s="5" t="s">
        <v>589</v>
      </c>
      <c r="C53" s="5" t="s">
        <v>63</v>
      </c>
      <c r="D53" s="5" t="s">
        <v>64</v>
      </c>
      <c r="E53" s="6" t="s">
        <v>842</v>
      </c>
      <c r="F53" s="7"/>
      <c r="G53" s="8" t="s">
        <v>28</v>
      </c>
      <c r="H53" s="9">
        <v>0.5</v>
      </c>
      <c r="I53" s="10"/>
      <c r="J53" s="10">
        <v>45930</v>
      </c>
      <c r="K53" s="11" t="str">
        <f t="shared" ca="1" si="2"/>
        <v>✓</v>
      </c>
      <c r="L53" s="12" t="str">
        <f t="shared" ca="1" si="3"/>
        <v>🟢 مكتملة</v>
      </c>
      <c r="M53" s="5" t="s">
        <v>846</v>
      </c>
      <c r="N53" s="5" t="s">
        <v>847</v>
      </c>
      <c r="O53" s="5"/>
      <c r="P53" s="44" t="s">
        <v>36</v>
      </c>
    </row>
    <row r="54" spans="1:16" ht="30" hidden="1" customHeight="1" x14ac:dyDescent="0.4">
      <c r="A54" s="43">
        <v>52</v>
      </c>
      <c r="B54" s="13" t="s">
        <v>735</v>
      </c>
      <c r="C54" s="13" t="s">
        <v>63</v>
      </c>
      <c r="D54" s="13" t="s">
        <v>64</v>
      </c>
      <c r="E54" s="6"/>
      <c r="F54" s="7"/>
      <c r="G54" s="14" t="s">
        <v>28</v>
      </c>
      <c r="H54" s="15">
        <v>1</v>
      </c>
      <c r="I54" s="16"/>
      <c r="J54" s="16">
        <v>45900</v>
      </c>
      <c r="K54" s="11" t="str">
        <f t="shared" ca="1" si="2"/>
        <v>✓</v>
      </c>
      <c r="L54" s="12" t="str">
        <f t="shared" ca="1" si="3"/>
        <v>🟢 مكتملة</v>
      </c>
      <c r="M54" s="13" t="s">
        <v>736</v>
      </c>
      <c r="N54" s="13" t="s">
        <v>737</v>
      </c>
      <c r="O54" s="13"/>
      <c r="P54" s="45" t="s">
        <v>36</v>
      </c>
    </row>
    <row r="55" spans="1:16" ht="30" hidden="1" customHeight="1" x14ac:dyDescent="0.4">
      <c r="A55" s="42">
        <v>53</v>
      </c>
      <c r="B55" s="5" t="s">
        <v>445</v>
      </c>
      <c r="C55" s="5" t="s">
        <v>63</v>
      </c>
      <c r="D55" s="5"/>
      <c r="E55" s="6"/>
      <c r="F55" s="7"/>
      <c r="G55" s="14" t="s">
        <v>28</v>
      </c>
      <c r="H55" s="9">
        <v>1</v>
      </c>
      <c r="I55" s="10"/>
      <c r="J55" s="10"/>
      <c r="K55" s="11" t="str">
        <f t="shared" ca="1" si="2"/>
        <v/>
      </c>
      <c r="L55" s="12" t="str">
        <f t="shared" ca="1" si="3"/>
        <v>🟢 مكتملة</v>
      </c>
      <c r="M55" s="5" t="s">
        <v>446</v>
      </c>
      <c r="N55" s="5" t="s">
        <v>447</v>
      </c>
      <c r="O55" s="5"/>
      <c r="P55" s="44" t="s">
        <v>36</v>
      </c>
    </row>
    <row r="56" spans="1:16" ht="30" hidden="1" customHeight="1" x14ac:dyDescent="0.4">
      <c r="A56" s="43">
        <v>54</v>
      </c>
      <c r="B56" s="13" t="s">
        <v>466</v>
      </c>
      <c r="C56" s="13" t="s">
        <v>97</v>
      </c>
      <c r="D56" s="13" t="s">
        <v>98</v>
      </c>
      <c r="E56" s="6"/>
      <c r="F56" s="7"/>
      <c r="G56" s="14" t="s">
        <v>28</v>
      </c>
      <c r="H56" s="15">
        <v>1</v>
      </c>
      <c r="I56" s="16"/>
      <c r="J56" s="16"/>
      <c r="K56" s="11" t="str">
        <f t="shared" ca="1" si="2"/>
        <v/>
      </c>
      <c r="L56" s="12" t="str">
        <f t="shared" ca="1" si="3"/>
        <v>🟢 مكتملة</v>
      </c>
      <c r="M56" s="13" t="s">
        <v>467</v>
      </c>
      <c r="N56" s="13" t="s">
        <v>468</v>
      </c>
      <c r="O56" s="13"/>
      <c r="P56" s="45" t="s">
        <v>36</v>
      </c>
    </row>
    <row r="57" spans="1:16" ht="30" hidden="1" customHeight="1" x14ac:dyDescent="0.4">
      <c r="A57" s="42">
        <v>55</v>
      </c>
      <c r="B57" s="5" t="s">
        <v>54</v>
      </c>
      <c r="C57" s="5" t="s">
        <v>55</v>
      </c>
      <c r="D57" s="5" t="s">
        <v>56</v>
      </c>
      <c r="E57" s="6"/>
      <c r="F57" s="7"/>
      <c r="G57" s="14" t="s">
        <v>28</v>
      </c>
      <c r="H57" s="9">
        <v>1</v>
      </c>
      <c r="I57" s="10"/>
      <c r="J57" s="10"/>
      <c r="K57" s="11" t="str">
        <f t="shared" ca="1" si="2"/>
        <v/>
      </c>
      <c r="L57" s="12" t="str">
        <f t="shared" ca="1" si="3"/>
        <v>🟢 مكتملة</v>
      </c>
      <c r="M57" s="5" t="s">
        <v>57</v>
      </c>
      <c r="N57" s="5" t="s">
        <v>58</v>
      </c>
      <c r="O57" s="5"/>
      <c r="P57" s="44" t="s">
        <v>36</v>
      </c>
    </row>
    <row r="58" spans="1:16" ht="30" customHeight="1" x14ac:dyDescent="0.4">
      <c r="A58" s="43">
        <v>56</v>
      </c>
      <c r="B58" s="13" t="s">
        <v>315</v>
      </c>
      <c r="C58" s="13" t="s">
        <v>55</v>
      </c>
      <c r="D58" s="13" t="s">
        <v>217</v>
      </c>
      <c r="E58" s="6" t="s">
        <v>840</v>
      </c>
      <c r="F58" s="7" t="s">
        <v>844</v>
      </c>
      <c r="G58" s="8" t="s">
        <v>20</v>
      </c>
      <c r="H58" s="15">
        <v>0.5</v>
      </c>
      <c r="I58" s="16"/>
      <c r="J58" s="16">
        <v>46142</v>
      </c>
      <c r="K58" s="11">
        <f t="shared" ca="1" si="2"/>
        <v>28</v>
      </c>
      <c r="L58" s="12" t="str">
        <f t="shared" ca="1" si="3"/>
        <v>🟢 في المسار</v>
      </c>
      <c r="M58" s="21" t="s">
        <v>878</v>
      </c>
      <c r="N58" s="13" t="s">
        <v>891</v>
      </c>
      <c r="O58" s="13" t="s">
        <v>873</v>
      </c>
      <c r="P58" s="45" t="s">
        <v>36</v>
      </c>
    </row>
    <row r="59" spans="1:16" ht="30" hidden="1" customHeight="1" x14ac:dyDescent="0.4">
      <c r="A59" s="42">
        <v>57</v>
      </c>
      <c r="B59" s="5" t="s">
        <v>563</v>
      </c>
      <c r="C59" s="5" t="s">
        <v>26</v>
      </c>
      <c r="D59" s="5" t="s">
        <v>27</v>
      </c>
      <c r="E59" s="6"/>
      <c r="F59" s="7"/>
      <c r="G59" s="14" t="s">
        <v>28</v>
      </c>
      <c r="H59" s="9">
        <v>1</v>
      </c>
      <c r="I59" s="10"/>
      <c r="J59" s="10"/>
      <c r="K59" s="11" t="str">
        <f t="shared" ca="1" si="2"/>
        <v/>
      </c>
      <c r="L59" s="12" t="str">
        <f t="shared" ca="1" si="3"/>
        <v>🟢 مكتملة</v>
      </c>
      <c r="M59" s="5" t="s">
        <v>564</v>
      </c>
      <c r="N59" s="5" t="s">
        <v>565</v>
      </c>
      <c r="O59" s="5"/>
      <c r="P59" s="44" t="s">
        <v>36</v>
      </c>
    </row>
    <row r="60" spans="1:16" ht="30" hidden="1" customHeight="1" x14ac:dyDescent="0.4">
      <c r="A60" s="43">
        <v>58</v>
      </c>
      <c r="B60" s="13" t="s">
        <v>190</v>
      </c>
      <c r="C60" s="13" t="s">
        <v>26</v>
      </c>
      <c r="D60" s="13" t="s">
        <v>186</v>
      </c>
      <c r="E60" s="6"/>
      <c r="F60" s="7"/>
      <c r="G60" s="14" t="s">
        <v>28</v>
      </c>
      <c r="H60" s="15">
        <v>1</v>
      </c>
      <c r="I60" s="16"/>
      <c r="J60" s="16"/>
      <c r="K60" s="11" t="str">
        <f t="shared" ca="1" si="2"/>
        <v/>
      </c>
      <c r="L60" s="12" t="str">
        <f t="shared" ca="1" si="3"/>
        <v>🟢 مكتملة</v>
      </c>
      <c r="M60" s="13" t="s">
        <v>199</v>
      </c>
      <c r="N60" s="13"/>
      <c r="O60" s="13"/>
      <c r="P60" s="45" t="s">
        <v>36</v>
      </c>
    </row>
    <row r="61" spans="1:16" ht="30" customHeight="1" x14ac:dyDescent="0.4">
      <c r="A61" s="42">
        <v>59</v>
      </c>
      <c r="B61" s="5" t="s">
        <v>223</v>
      </c>
      <c r="C61" s="5" t="s">
        <v>26</v>
      </c>
      <c r="D61" s="5" t="s">
        <v>27</v>
      </c>
      <c r="E61" s="6" t="s">
        <v>842</v>
      </c>
      <c r="F61" s="7" t="s">
        <v>843</v>
      </c>
      <c r="G61" s="8" t="s">
        <v>20</v>
      </c>
      <c r="H61" s="9">
        <v>0.8</v>
      </c>
      <c r="I61" s="10"/>
      <c r="J61" s="10">
        <v>46022</v>
      </c>
      <c r="K61" s="11">
        <f t="shared" ca="1" si="2"/>
        <v>-92</v>
      </c>
      <c r="L61" s="12" t="str">
        <f t="shared" ca="1" si="3"/>
        <v>🔴 متأخرة</v>
      </c>
      <c r="M61" s="20" t="s">
        <v>224</v>
      </c>
      <c r="N61" s="5" t="s">
        <v>225</v>
      </c>
      <c r="O61" s="5"/>
      <c r="P61" s="44" t="s">
        <v>36</v>
      </c>
    </row>
    <row r="62" spans="1:16" ht="30" customHeight="1" x14ac:dyDescent="0.4">
      <c r="A62" s="43">
        <v>60</v>
      </c>
      <c r="B62" s="13" t="s">
        <v>512</v>
      </c>
      <c r="C62" s="13" t="s">
        <v>55</v>
      </c>
      <c r="D62" s="13" t="s">
        <v>56</v>
      </c>
      <c r="E62" s="6" t="s">
        <v>840</v>
      </c>
      <c r="F62" s="7" t="s">
        <v>845</v>
      </c>
      <c r="G62" s="8" t="s">
        <v>20</v>
      </c>
      <c r="H62" s="15">
        <v>0.9</v>
      </c>
      <c r="I62" s="16">
        <v>45888</v>
      </c>
      <c r="J62" s="10">
        <v>46022</v>
      </c>
      <c r="K62" s="11">
        <f t="shared" ca="1" si="2"/>
        <v>-92</v>
      </c>
      <c r="L62" s="12" t="str">
        <f t="shared" ca="1" si="3"/>
        <v>🔴 متأخرة</v>
      </c>
      <c r="M62" s="21" t="s">
        <v>864</v>
      </c>
      <c r="N62" s="13" t="s">
        <v>877</v>
      </c>
      <c r="O62" s="13"/>
      <c r="P62" s="45" t="s">
        <v>36</v>
      </c>
    </row>
    <row r="63" spans="1:16" ht="30" hidden="1" customHeight="1" x14ac:dyDescent="0.4">
      <c r="A63" s="42">
        <v>61</v>
      </c>
      <c r="B63" s="5" t="s">
        <v>483</v>
      </c>
      <c r="C63" s="5" t="s">
        <v>31</v>
      </c>
      <c r="D63" s="5" t="s">
        <v>100</v>
      </c>
      <c r="E63" s="6"/>
      <c r="F63" s="7"/>
      <c r="G63" s="14" t="s">
        <v>28</v>
      </c>
      <c r="H63" s="9">
        <v>1</v>
      </c>
      <c r="I63" s="10"/>
      <c r="J63" s="10"/>
      <c r="K63" s="11" t="str">
        <f t="shared" ca="1" si="2"/>
        <v/>
      </c>
      <c r="L63" s="12" t="str">
        <f t="shared" ca="1" si="3"/>
        <v>🟢 مكتملة</v>
      </c>
      <c r="M63" s="5" t="s">
        <v>484</v>
      </c>
      <c r="N63" s="5"/>
      <c r="O63" s="5"/>
      <c r="P63" s="44" t="s">
        <v>36</v>
      </c>
    </row>
    <row r="64" spans="1:16" ht="30" hidden="1" customHeight="1" x14ac:dyDescent="0.4">
      <c r="A64" s="43">
        <v>62</v>
      </c>
      <c r="B64" s="13" t="s">
        <v>728</v>
      </c>
      <c r="C64" s="13" t="s">
        <v>63</v>
      </c>
      <c r="D64" s="13" t="s">
        <v>64</v>
      </c>
      <c r="E64" s="6" t="s">
        <v>853</v>
      </c>
      <c r="F64" s="7" t="s">
        <v>844</v>
      </c>
      <c r="G64" s="8" t="s">
        <v>28</v>
      </c>
      <c r="H64" s="15">
        <v>1</v>
      </c>
      <c r="I64" s="16"/>
      <c r="J64" s="16"/>
      <c r="K64" s="11" t="str">
        <f t="shared" ca="1" si="2"/>
        <v/>
      </c>
      <c r="L64" s="12" t="str">
        <f t="shared" ca="1" si="3"/>
        <v>🟢 مكتملة</v>
      </c>
      <c r="M64" s="13" t="s">
        <v>729</v>
      </c>
      <c r="N64" s="13" t="s">
        <v>730</v>
      </c>
      <c r="O64" s="13"/>
      <c r="P64" s="45" t="s">
        <v>36</v>
      </c>
    </row>
    <row r="65" spans="1:16" ht="30" hidden="1" customHeight="1" x14ac:dyDescent="0.4">
      <c r="A65" s="42">
        <v>63</v>
      </c>
      <c r="B65" s="5" t="s">
        <v>601</v>
      </c>
      <c r="C65" s="5" t="s">
        <v>55</v>
      </c>
      <c r="D65" s="5" t="s">
        <v>56</v>
      </c>
      <c r="E65" s="6"/>
      <c r="F65" s="7"/>
      <c r="G65" s="14" t="s">
        <v>28</v>
      </c>
      <c r="H65" s="9">
        <v>1</v>
      </c>
      <c r="I65" s="10"/>
      <c r="J65" s="10"/>
      <c r="K65" s="11" t="str">
        <f t="shared" ca="1" si="2"/>
        <v/>
      </c>
      <c r="L65" s="12" t="str">
        <f t="shared" ca="1" si="3"/>
        <v>🟢 مكتملة</v>
      </c>
      <c r="M65" s="5" t="s">
        <v>602</v>
      </c>
      <c r="N65" s="5" t="s">
        <v>603</v>
      </c>
      <c r="O65" s="5" t="s">
        <v>442</v>
      </c>
      <c r="P65" s="44" t="s">
        <v>36</v>
      </c>
    </row>
    <row r="66" spans="1:16" ht="30" hidden="1" customHeight="1" x14ac:dyDescent="0.4">
      <c r="A66" s="43">
        <v>64</v>
      </c>
      <c r="B66" s="13" t="s">
        <v>69</v>
      </c>
      <c r="C66" s="13" t="s">
        <v>55</v>
      </c>
      <c r="D66" s="13"/>
      <c r="E66" s="6"/>
      <c r="F66" s="7"/>
      <c r="G66" s="14" t="s">
        <v>28</v>
      </c>
      <c r="H66" s="15">
        <v>1</v>
      </c>
      <c r="I66" s="16"/>
      <c r="J66" s="16"/>
      <c r="K66" s="11" t="str">
        <f t="shared" ca="1" si="2"/>
        <v/>
      </c>
      <c r="L66" s="12" t="str">
        <f t="shared" ca="1" si="3"/>
        <v>🟢 مكتملة</v>
      </c>
      <c r="M66" s="13"/>
      <c r="N66" s="13"/>
      <c r="O66" s="13"/>
      <c r="P66" s="45" t="s">
        <v>36</v>
      </c>
    </row>
    <row r="67" spans="1:16" ht="30" hidden="1" customHeight="1" x14ac:dyDescent="0.4">
      <c r="A67" s="42">
        <v>65</v>
      </c>
      <c r="B67" s="5" t="s">
        <v>309</v>
      </c>
      <c r="C67" s="5" t="s">
        <v>18</v>
      </c>
      <c r="D67" s="5" t="s">
        <v>19</v>
      </c>
      <c r="E67" s="6"/>
      <c r="F67" s="7"/>
      <c r="G67" s="8" t="s">
        <v>28</v>
      </c>
      <c r="H67" s="9">
        <v>1</v>
      </c>
      <c r="I67" s="10"/>
      <c r="J67" s="10"/>
      <c r="K67" s="11" t="str">
        <f t="shared" ref="K67:K96" ca="1" si="4">IFERROR(IF(J67="","",IF(G67="مكتملة","✓",J67-TODAY())),"تاريخ غير صحيح")</f>
        <v/>
      </c>
      <c r="L67" s="12" t="str">
        <f t="shared" ref="L67:L96" ca="1" si="5">IF(G67="مكتملة","🟢 مكتملة",IF(G67="لم تبدأ","⚪ لم تبدأ",IF(J67&lt;TODAY(),"🔴 متأخرة",IF(AND(I67&lt;&gt;"",J67&lt;&gt;"",H67&lt;&gt;"",((TODAY()-I67)/(J67-I67)-H67)&gt;0.3),"🟡 تحتاج متابعة","🟢 في المسار"))))</f>
        <v>🟢 مكتملة</v>
      </c>
      <c r="M67" s="5" t="s">
        <v>310</v>
      </c>
      <c r="N67" s="5" t="s">
        <v>311</v>
      </c>
      <c r="O67" s="5"/>
      <c r="P67" s="44" t="s">
        <v>36</v>
      </c>
    </row>
    <row r="68" spans="1:16" ht="30" hidden="1" customHeight="1" x14ac:dyDescent="0.4">
      <c r="A68" s="43">
        <v>66</v>
      </c>
      <c r="B68" s="13" t="s">
        <v>645</v>
      </c>
      <c r="C68" s="13" t="s">
        <v>55</v>
      </c>
      <c r="D68" s="13" t="s">
        <v>124</v>
      </c>
      <c r="E68" s="6"/>
      <c r="F68" s="7"/>
      <c r="G68" s="14" t="s">
        <v>28</v>
      </c>
      <c r="H68" s="15">
        <v>1</v>
      </c>
      <c r="I68" s="16"/>
      <c r="J68" s="16"/>
      <c r="K68" s="11" t="str">
        <f t="shared" ca="1" si="4"/>
        <v/>
      </c>
      <c r="L68" s="12" t="str">
        <f t="shared" ca="1" si="5"/>
        <v>🟢 مكتملة</v>
      </c>
      <c r="M68" s="13" t="s">
        <v>646</v>
      </c>
      <c r="N68" s="13" t="s">
        <v>647</v>
      </c>
      <c r="O68" s="13" t="s">
        <v>136</v>
      </c>
      <c r="P68" s="45" t="s">
        <v>36</v>
      </c>
    </row>
    <row r="69" spans="1:16" ht="30" hidden="1" customHeight="1" x14ac:dyDescent="0.4">
      <c r="A69" s="42">
        <v>67</v>
      </c>
      <c r="B69" s="5" t="s">
        <v>128</v>
      </c>
      <c r="C69" s="5" t="s">
        <v>55</v>
      </c>
      <c r="D69" s="5" t="s">
        <v>56</v>
      </c>
      <c r="E69" s="6"/>
      <c r="F69" s="7"/>
      <c r="G69" s="14" t="s">
        <v>28</v>
      </c>
      <c r="H69" s="9">
        <v>1</v>
      </c>
      <c r="I69" s="10"/>
      <c r="J69" s="10"/>
      <c r="K69" s="11" t="str">
        <f t="shared" ca="1" si="4"/>
        <v/>
      </c>
      <c r="L69" s="12" t="str">
        <f t="shared" ca="1" si="5"/>
        <v>🟢 مكتملة</v>
      </c>
      <c r="M69" s="5" t="s">
        <v>129</v>
      </c>
      <c r="N69" s="5" t="s">
        <v>130</v>
      </c>
      <c r="O69" s="5"/>
      <c r="P69" s="44" t="s">
        <v>36</v>
      </c>
    </row>
    <row r="70" spans="1:16" ht="30" customHeight="1" x14ac:dyDescent="0.4">
      <c r="A70" s="43">
        <v>68</v>
      </c>
      <c r="B70" s="13" t="s">
        <v>216</v>
      </c>
      <c r="C70" s="13" t="s">
        <v>55</v>
      </c>
      <c r="D70" s="13" t="s">
        <v>217</v>
      </c>
      <c r="E70" s="6" t="s">
        <v>842</v>
      </c>
      <c r="F70" s="7" t="s">
        <v>844</v>
      </c>
      <c r="G70" s="8" t="s">
        <v>20</v>
      </c>
      <c r="H70" s="15">
        <v>0.95</v>
      </c>
      <c r="I70" s="16"/>
      <c r="J70" s="16">
        <v>46203</v>
      </c>
      <c r="K70" s="11">
        <f t="shared" ca="1" si="4"/>
        <v>89</v>
      </c>
      <c r="L70" s="12" t="str">
        <f t="shared" ca="1" si="5"/>
        <v>🟢 في المسار</v>
      </c>
      <c r="M70" s="21" t="s">
        <v>218</v>
      </c>
      <c r="N70" s="13" t="s">
        <v>877</v>
      </c>
      <c r="O70" s="13"/>
      <c r="P70" s="45" t="s">
        <v>36</v>
      </c>
    </row>
    <row r="71" spans="1:16" ht="30" hidden="1" customHeight="1" x14ac:dyDescent="0.4">
      <c r="A71" s="42">
        <v>69</v>
      </c>
      <c r="B71" s="5" t="s">
        <v>764</v>
      </c>
      <c r="C71" s="5" t="s">
        <v>55</v>
      </c>
      <c r="D71" s="5" t="s">
        <v>765</v>
      </c>
      <c r="E71" s="6"/>
      <c r="F71" s="7"/>
      <c r="G71" s="8" t="s">
        <v>28</v>
      </c>
      <c r="H71" s="9">
        <v>1</v>
      </c>
      <c r="I71" s="10"/>
      <c r="J71" s="10"/>
      <c r="K71" s="11" t="str">
        <f t="shared" ca="1" si="4"/>
        <v/>
      </c>
      <c r="L71" s="12" t="str">
        <f t="shared" ca="1" si="5"/>
        <v>🟢 مكتملة</v>
      </c>
      <c r="M71" s="5" t="s">
        <v>766</v>
      </c>
      <c r="N71" s="5" t="s">
        <v>767</v>
      </c>
      <c r="O71" s="5"/>
      <c r="P71" s="44" t="s">
        <v>36</v>
      </c>
    </row>
    <row r="72" spans="1:16" ht="30" hidden="1" customHeight="1" x14ac:dyDescent="0.4">
      <c r="A72" s="43">
        <v>70</v>
      </c>
      <c r="B72" s="13" t="s">
        <v>768</v>
      </c>
      <c r="C72" s="13" t="s">
        <v>26</v>
      </c>
      <c r="D72" s="13" t="s">
        <v>186</v>
      </c>
      <c r="E72" s="6"/>
      <c r="F72" s="7"/>
      <c r="G72" s="14" t="s">
        <v>28</v>
      </c>
      <c r="H72" s="15">
        <v>1</v>
      </c>
      <c r="I72" s="16"/>
      <c r="J72" s="16"/>
      <c r="K72" s="11" t="str">
        <f t="shared" ca="1" si="4"/>
        <v/>
      </c>
      <c r="L72" s="12" t="str">
        <f t="shared" ca="1" si="5"/>
        <v>🟢 مكتملة</v>
      </c>
      <c r="M72" s="13" t="s">
        <v>769</v>
      </c>
      <c r="N72" s="13" t="s">
        <v>95</v>
      </c>
      <c r="O72" s="13"/>
      <c r="P72" s="45" t="s">
        <v>36</v>
      </c>
    </row>
    <row r="73" spans="1:16" ht="30" hidden="1" customHeight="1" x14ac:dyDescent="0.4">
      <c r="A73" s="42">
        <v>71</v>
      </c>
      <c r="B73" s="5" t="s">
        <v>351</v>
      </c>
      <c r="C73" s="5" t="s">
        <v>26</v>
      </c>
      <c r="D73" s="5" t="s">
        <v>27</v>
      </c>
      <c r="E73" s="6"/>
      <c r="F73" s="7"/>
      <c r="G73" s="14" t="s">
        <v>28</v>
      </c>
      <c r="H73" s="9">
        <v>1</v>
      </c>
      <c r="I73" s="10"/>
      <c r="J73" s="10"/>
      <c r="K73" s="11" t="str">
        <f t="shared" ca="1" si="4"/>
        <v/>
      </c>
      <c r="L73" s="12" t="str">
        <f t="shared" ca="1" si="5"/>
        <v>🟢 مكتملة</v>
      </c>
      <c r="M73" s="5" t="s">
        <v>352</v>
      </c>
      <c r="N73" s="5" t="s">
        <v>353</v>
      </c>
      <c r="O73" s="5"/>
      <c r="P73" s="44" t="s">
        <v>36</v>
      </c>
    </row>
    <row r="74" spans="1:16" ht="30" customHeight="1" x14ac:dyDescent="0.4">
      <c r="A74" s="43">
        <v>72</v>
      </c>
      <c r="B74" s="13" t="s">
        <v>206</v>
      </c>
      <c r="C74" s="13" t="s">
        <v>863</v>
      </c>
      <c r="D74" s="13" t="s">
        <v>56</v>
      </c>
      <c r="E74" s="6" t="s">
        <v>842</v>
      </c>
      <c r="F74" s="7" t="s">
        <v>844</v>
      </c>
      <c r="G74" s="8" t="s">
        <v>20</v>
      </c>
      <c r="H74" s="15">
        <v>0.1</v>
      </c>
      <c r="I74" s="16"/>
      <c r="J74" s="16">
        <v>46203</v>
      </c>
      <c r="K74" s="11">
        <f t="shared" ca="1" si="4"/>
        <v>89</v>
      </c>
      <c r="L74" s="12" t="str">
        <f t="shared" ca="1" si="5"/>
        <v>🟢 في المسار</v>
      </c>
      <c r="M74" s="21" t="s">
        <v>866</v>
      </c>
      <c r="N74" s="13" t="s">
        <v>865</v>
      </c>
      <c r="O74" s="13"/>
      <c r="P74" s="45" t="s">
        <v>36</v>
      </c>
    </row>
    <row r="75" spans="1:16" ht="30" hidden="1" customHeight="1" x14ac:dyDescent="0.4">
      <c r="A75" s="42">
        <v>73</v>
      </c>
      <c r="B75" s="5" t="s">
        <v>587</v>
      </c>
      <c r="C75" s="5" t="s">
        <v>26</v>
      </c>
      <c r="D75" s="5" t="s">
        <v>27</v>
      </c>
      <c r="E75" s="6"/>
      <c r="F75" s="7"/>
      <c r="G75" s="14" t="s">
        <v>28</v>
      </c>
      <c r="H75" s="9">
        <v>1</v>
      </c>
      <c r="I75" s="10"/>
      <c r="J75" s="10"/>
      <c r="K75" s="11" t="str">
        <f t="shared" ca="1" si="4"/>
        <v/>
      </c>
      <c r="L75" s="12" t="str">
        <f t="shared" ca="1" si="5"/>
        <v>🟢 مكتملة</v>
      </c>
      <c r="M75" s="5" t="s">
        <v>588</v>
      </c>
      <c r="N75" s="5" t="s">
        <v>44</v>
      </c>
      <c r="O75" s="5"/>
      <c r="P75" s="44" t="s">
        <v>36</v>
      </c>
    </row>
    <row r="76" spans="1:16" ht="30" hidden="1" customHeight="1" x14ac:dyDescent="0.4">
      <c r="A76" s="43">
        <v>74</v>
      </c>
      <c r="B76" s="13" t="s">
        <v>226</v>
      </c>
      <c r="C76" s="13" t="s">
        <v>26</v>
      </c>
      <c r="D76" s="13" t="s">
        <v>27</v>
      </c>
      <c r="E76" s="6"/>
      <c r="F76" s="7"/>
      <c r="G76" s="14" t="s">
        <v>28</v>
      </c>
      <c r="H76" s="15">
        <v>1</v>
      </c>
      <c r="I76" s="16"/>
      <c r="J76" s="16"/>
      <c r="K76" s="11" t="str">
        <f t="shared" ca="1" si="4"/>
        <v/>
      </c>
      <c r="L76" s="12" t="str">
        <f t="shared" ca="1" si="5"/>
        <v>🟢 مكتملة</v>
      </c>
      <c r="M76" s="13" t="s">
        <v>227</v>
      </c>
      <c r="N76" s="13"/>
      <c r="O76" s="13"/>
      <c r="P76" s="45" t="s">
        <v>36</v>
      </c>
    </row>
    <row r="77" spans="1:16" ht="30" hidden="1" customHeight="1" x14ac:dyDescent="0.4">
      <c r="A77" s="42">
        <v>75</v>
      </c>
      <c r="B77" s="5" t="s">
        <v>493</v>
      </c>
      <c r="C77" s="5" t="s">
        <v>26</v>
      </c>
      <c r="D77" s="5" t="s">
        <v>27</v>
      </c>
      <c r="E77" s="6" t="s">
        <v>840</v>
      </c>
      <c r="F77" s="7" t="s">
        <v>844</v>
      </c>
      <c r="G77" s="8" t="s">
        <v>28</v>
      </c>
      <c r="H77" s="9"/>
      <c r="I77" s="10"/>
      <c r="J77" s="10"/>
      <c r="K77" s="11" t="str">
        <f t="shared" ca="1" si="4"/>
        <v/>
      </c>
      <c r="L77" s="12" t="str">
        <f t="shared" ca="1" si="5"/>
        <v>🟢 مكتملة</v>
      </c>
      <c r="M77" s="20" t="s">
        <v>860</v>
      </c>
      <c r="N77" s="5"/>
      <c r="O77" s="5"/>
      <c r="P77" s="44" t="s">
        <v>36</v>
      </c>
    </row>
    <row r="78" spans="1:16" ht="30" hidden="1" customHeight="1" x14ac:dyDescent="0.4">
      <c r="A78" s="43">
        <v>76</v>
      </c>
      <c r="B78" s="13" t="s">
        <v>641</v>
      </c>
      <c r="C78" s="13" t="s">
        <v>26</v>
      </c>
      <c r="D78" s="13" t="s">
        <v>27</v>
      </c>
      <c r="E78" s="6"/>
      <c r="F78" s="7"/>
      <c r="G78" s="14" t="s">
        <v>28</v>
      </c>
      <c r="H78" s="15">
        <v>1</v>
      </c>
      <c r="I78" s="16"/>
      <c r="J78" s="16"/>
      <c r="K78" s="11" t="str">
        <f t="shared" ca="1" si="4"/>
        <v/>
      </c>
      <c r="L78" s="12" t="str">
        <f t="shared" ca="1" si="5"/>
        <v>🟢 مكتملة</v>
      </c>
      <c r="M78" s="13"/>
      <c r="N78" s="13" t="s">
        <v>642</v>
      </c>
      <c r="O78" s="13"/>
      <c r="P78" s="45" t="s">
        <v>36</v>
      </c>
    </row>
    <row r="79" spans="1:16" ht="30" hidden="1" customHeight="1" x14ac:dyDescent="0.4">
      <c r="A79" s="42">
        <v>77</v>
      </c>
      <c r="B79" s="5" t="s">
        <v>62</v>
      </c>
      <c r="C79" s="5" t="s">
        <v>63</v>
      </c>
      <c r="D79" s="5" t="s">
        <v>64</v>
      </c>
      <c r="E79" s="6"/>
      <c r="F79" s="7"/>
      <c r="G79" s="14" t="s">
        <v>28</v>
      </c>
      <c r="H79" s="9">
        <v>1</v>
      </c>
      <c r="I79" s="10"/>
      <c r="J79" s="10"/>
      <c r="K79" s="11" t="str">
        <f t="shared" ca="1" si="4"/>
        <v/>
      </c>
      <c r="L79" s="12" t="str">
        <f t="shared" ca="1" si="5"/>
        <v>🟢 مكتملة</v>
      </c>
      <c r="M79" s="5" t="s">
        <v>65</v>
      </c>
      <c r="N79" s="5" t="s">
        <v>66</v>
      </c>
      <c r="O79" s="5"/>
      <c r="P79" s="44" t="s">
        <v>36</v>
      </c>
    </row>
    <row r="80" spans="1:16" ht="30" hidden="1" customHeight="1" x14ac:dyDescent="0.4">
      <c r="A80" s="43">
        <v>78</v>
      </c>
      <c r="B80" s="13" t="s">
        <v>501</v>
      </c>
      <c r="C80" s="13" t="s">
        <v>31</v>
      </c>
      <c r="D80" s="13" t="s">
        <v>100</v>
      </c>
      <c r="E80" s="6" t="s">
        <v>842</v>
      </c>
      <c r="F80" s="7" t="s">
        <v>844</v>
      </c>
      <c r="G80" s="8" t="s">
        <v>28</v>
      </c>
      <c r="H80" s="15">
        <v>1</v>
      </c>
      <c r="I80" s="16"/>
      <c r="J80" s="16">
        <v>46112</v>
      </c>
      <c r="K80" s="11" t="str">
        <f t="shared" ca="1" si="4"/>
        <v>✓</v>
      </c>
      <c r="L80" s="12" t="str">
        <f t="shared" ca="1" si="5"/>
        <v>🟢 مكتملة</v>
      </c>
      <c r="M80" s="21" t="s">
        <v>502</v>
      </c>
      <c r="N80" s="13"/>
      <c r="O80" s="13"/>
      <c r="P80" s="45" t="s">
        <v>36</v>
      </c>
    </row>
    <row r="81" spans="1:16" ht="30" hidden="1" customHeight="1" x14ac:dyDescent="0.4">
      <c r="A81" s="42">
        <v>79</v>
      </c>
      <c r="B81" s="5" t="s">
        <v>526</v>
      </c>
      <c r="C81" s="5" t="s">
        <v>31</v>
      </c>
      <c r="D81" s="5" t="s">
        <v>76</v>
      </c>
      <c r="E81" s="6"/>
      <c r="F81" s="7"/>
      <c r="G81" s="14" t="s">
        <v>28</v>
      </c>
      <c r="H81" s="9">
        <v>1</v>
      </c>
      <c r="I81" s="10"/>
      <c r="J81" s="10">
        <v>45981</v>
      </c>
      <c r="K81" s="11" t="str">
        <f t="shared" ca="1" si="4"/>
        <v>✓</v>
      </c>
      <c r="L81" s="12" t="str">
        <f t="shared" ca="1" si="5"/>
        <v>🟢 مكتملة</v>
      </c>
      <c r="M81" s="5"/>
      <c r="N81" s="5" t="s">
        <v>95</v>
      </c>
      <c r="O81" s="5"/>
      <c r="P81" s="44" t="s">
        <v>36</v>
      </c>
    </row>
    <row r="82" spans="1:16" ht="30" hidden="1" customHeight="1" x14ac:dyDescent="0.4">
      <c r="A82" s="43">
        <v>80</v>
      </c>
      <c r="B82" s="13" t="s">
        <v>482</v>
      </c>
      <c r="C82" s="13" t="s">
        <v>42</v>
      </c>
      <c r="D82" s="13" t="s">
        <v>43</v>
      </c>
      <c r="E82" s="6"/>
      <c r="F82" s="7"/>
      <c r="G82" s="8" t="s">
        <v>28</v>
      </c>
      <c r="H82" s="15">
        <v>1</v>
      </c>
      <c r="I82" s="16"/>
      <c r="J82" s="16">
        <v>45981</v>
      </c>
      <c r="K82" s="11" t="str">
        <f t="shared" ca="1" si="4"/>
        <v>✓</v>
      </c>
      <c r="L82" s="12" t="str">
        <f t="shared" ca="1" si="5"/>
        <v>🟢 مكتملة</v>
      </c>
      <c r="M82" s="13"/>
      <c r="N82" s="13" t="s">
        <v>95</v>
      </c>
      <c r="O82" s="13"/>
      <c r="P82" s="45" t="s">
        <v>36</v>
      </c>
    </row>
    <row r="83" spans="1:16" ht="30" hidden="1" customHeight="1" x14ac:dyDescent="0.4">
      <c r="A83" s="42">
        <v>81</v>
      </c>
      <c r="B83" s="5" t="s">
        <v>763</v>
      </c>
      <c r="C83" s="5" t="s">
        <v>31</v>
      </c>
      <c r="D83" s="5" t="s">
        <v>32</v>
      </c>
      <c r="E83" s="6"/>
      <c r="F83" s="7"/>
      <c r="G83" s="14" t="s">
        <v>28</v>
      </c>
      <c r="H83" s="9">
        <v>1</v>
      </c>
      <c r="I83" s="10"/>
      <c r="J83" s="10">
        <v>45976</v>
      </c>
      <c r="K83" s="11" t="str">
        <f t="shared" ca="1" si="4"/>
        <v>✓</v>
      </c>
      <c r="L83" s="12" t="str">
        <f t="shared" ca="1" si="5"/>
        <v>🟢 مكتملة</v>
      </c>
      <c r="M83" s="5"/>
      <c r="N83" s="5" t="s">
        <v>95</v>
      </c>
      <c r="O83" s="5"/>
      <c r="P83" s="44" t="s">
        <v>36</v>
      </c>
    </row>
    <row r="84" spans="1:16" ht="30" hidden="1" customHeight="1" x14ac:dyDescent="0.4">
      <c r="A84" s="43">
        <v>82</v>
      </c>
      <c r="B84" s="13" t="s">
        <v>387</v>
      </c>
      <c r="C84" s="13" t="s">
        <v>26</v>
      </c>
      <c r="D84" s="13" t="s">
        <v>27</v>
      </c>
      <c r="E84" s="6"/>
      <c r="F84" s="7"/>
      <c r="G84" s="14" t="s">
        <v>28</v>
      </c>
      <c r="H84" s="15">
        <v>1</v>
      </c>
      <c r="I84" s="16"/>
      <c r="J84" s="16">
        <v>45981</v>
      </c>
      <c r="K84" s="11" t="str">
        <f t="shared" ca="1" si="4"/>
        <v>✓</v>
      </c>
      <c r="L84" s="12" t="str">
        <f t="shared" ca="1" si="5"/>
        <v>🟢 مكتملة</v>
      </c>
      <c r="M84" s="13" t="s">
        <v>388</v>
      </c>
      <c r="N84" s="13" t="s">
        <v>317</v>
      </c>
      <c r="O84" s="13"/>
      <c r="P84" s="45" t="s">
        <v>36</v>
      </c>
    </row>
    <row r="85" spans="1:16" ht="30" hidden="1" customHeight="1" x14ac:dyDescent="0.4">
      <c r="A85" s="42">
        <v>83</v>
      </c>
      <c r="B85" s="5" t="s">
        <v>559</v>
      </c>
      <c r="C85" s="5" t="s">
        <v>26</v>
      </c>
      <c r="D85" s="5" t="s">
        <v>27</v>
      </c>
      <c r="E85" s="6"/>
      <c r="F85" s="7"/>
      <c r="G85" s="14" t="s">
        <v>28</v>
      </c>
      <c r="H85" s="9">
        <v>1</v>
      </c>
      <c r="I85" s="10"/>
      <c r="J85" s="10">
        <v>45981</v>
      </c>
      <c r="K85" s="11" t="str">
        <f t="shared" ca="1" si="4"/>
        <v>✓</v>
      </c>
      <c r="L85" s="12" t="str">
        <f t="shared" ca="1" si="5"/>
        <v>🟢 مكتملة</v>
      </c>
      <c r="M85" s="5"/>
      <c r="N85" s="5" t="s">
        <v>560</v>
      </c>
      <c r="O85" s="5"/>
      <c r="P85" s="44" t="s">
        <v>36</v>
      </c>
    </row>
    <row r="86" spans="1:16" ht="30" hidden="1" customHeight="1" x14ac:dyDescent="0.4">
      <c r="A86" s="43">
        <v>84</v>
      </c>
      <c r="B86" s="13" t="s">
        <v>166</v>
      </c>
      <c r="C86" s="13" t="s">
        <v>63</v>
      </c>
      <c r="D86" s="13" t="s">
        <v>64</v>
      </c>
      <c r="E86" s="6"/>
      <c r="F86" s="7"/>
      <c r="G86" s="14" t="s">
        <v>28</v>
      </c>
      <c r="H86" s="15">
        <v>1</v>
      </c>
      <c r="I86" s="16"/>
      <c r="J86" s="16">
        <v>45981</v>
      </c>
      <c r="K86" s="11" t="str">
        <f t="shared" ca="1" si="4"/>
        <v>✓</v>
      </c>
      <c r="L86" s="12" t="str">
        <f t="shared" ca="1" si="5"/>
        <v>🟢 مكتملة</v>
      </c>
      <c r="M86" s="13"/>
      <c r="N86" s="13" t="s">
        <v>167</v>
      </c>
      <c r="O86" s="13"/>
      <c r="P86" s="45" t="s">
        <v>36</v>
      </c>
    </row>
    <row r="87" spans="1:16" ht="30" customHeight="1" x14ac:dyDescent="0.4">
      <c r="A87" s="42">
        <v>85</v>
      </c>
      <c r="B87" s="5" t="s">
        <v>614</v>
      </c>
      <c r="C87" s="5" t="s">
        <v>55</v>
      </c>
      <c r="D87" s="5" t="s">
        <v>217</v>
      </c>
      <c r="E87" s="6" t="s">
        <v>853</v>
      </c>
      <c r="F87" s="7" t="s">
        <v>844</v>
      </c>
      <c r="G87" s="8" t="s">
        <v>20</v>
      </c>
      <c r="H87" s="9">
        <v>0.5</v>
      </c>
      <c r="I87" s="10"/>
      <c r="J87" s="10">
        <v>46112</v>
      </c>
      <c r="K87" s="11">
        <f t="shared" ca="1" si="4"/>
        <v>-2</v>
      </c>
      <c r="L87" s="12" t="str">
        <f t="shared" ca="1" si="5"/>
        <v>🔴 متأخرة</v>
      </c>
      <c r="M87" s="20" t="s">
        <v>879</v>
      </c>
      <c r="N87" s="13" t="s">
        <v>877</v>
      </c>
      <c r="O87" s="5"/>
      <c r="P87" s="44" t="s">
        <v>36</v>
      </c>
    </row>
    <row r="88" spans="1:16" ht="30" hidden="1" customHeight="1" x14ac:dyDescent="0.4">
      <c r="A88" s="43">
        <v>86</v>
      </c>
      <c r="B88" s="13" t="s">
        <v>344</v>
      </c>
      <c r="C88" s="13" t="s">
        <v>42</v>
      </c>
      <c r="D88" s="13"/>
      <c r="E88" s="6"/>
      <c r="F88" s="7"/>
      <c r="G88" s="14" t="s">
        <v>28</v>
      </c>
      <c r="H88" s="15">
        <v>1</v>
      </c>
      <c r="I88" s="16"/>
      <c r="J88" s="16"/>
      <c r="K88" s="11" t="str">
        <f t="shared" ca="1" si="4"/>
        <v/>
      </c>
      <c r="L88" s="12" t="str">
        <f t="shared" ca="1" si="5"/>
        <v>🟢 مكتملة</v>
      </c>
      <c r="M88" s="13" t="s">
        <v>345</v>
      </c>
      <c r="N88" s="13"/>
      <c r="O88" s="13"/>
      <c r="P88" s="45" t="s">
        <v>36</v>
      </c>
    </row>
    <row r="89" spans="1:16" ht="30" hidden="1" customHeight="1" x14ac:dyDescent="0.4">
      <c r="A89" s="42">
        <v>87</v>
      </c>
      <c r="B89" s="5" t="s">
        <v>372</v>
      </c>
      <c r="C89" s="5" t="s">
        <v>55</v>
      </c>
      <c r="D89" s="5" t="s">
        <v>124</v>
      </c>
      <c r="E89" s="6"/>
      <c r="F89" s="7"/>
      <c r="G89" s="14" t="s">
        <v>28</v>
      </c>
      <c r="H89" s="9">
        <v>1</v>
      </c>
      <c r="I89" s="10"/>
      <c r="J89" s="10"/>
      <c r="K89" s="11" t="str">
        <f t="shared" ca="1" si="4"/>
        <v/>
      </c>
      <c r="L89" s="12" t="str">
        <f t="shared" ca="1" si="5"/>
        <v>🟢 مكتملة</v>
      </c>
      <c r="M89" s="5" t="s">
        <v>373</v>
      </c>
      <c r="N89" s="5"/>
      <c r="O89" s="5"/>
      <c r="P89" s="44" t="s">
        <v>36</v>
      </c>
    </row>
    <row r="90" spans="1:16" ht="30" customHeight="1" x14ac:dyDescent="0.4">
      <c r="A90" s="43">
        <v>88</v>
      </c>
      <c r="B90" s="13" t="s">
        <v>344</v>
      </c>
      <c r="C90" s="13" t="s">
        <v>42</v>
      </c>
      <c r="D90" s="13" t="s">
        <v>346</v>
      </c>
      <c r="E90" s="6" t="s">
        <v>840</v>
      </c>
      <c r="F90" s="7" t="s">
        <v>841</v>
      </c>
      <c r="G90" s="8" t="s">
        <v>20</v>
      </c>
      <c r="H90" s="15">
        <v>0.6</v>
      </c>
      <c r="I90" s="16"/>
      <c r="J90" s="16">
        <v>46159</v>
      </c>
      <c r="K90" s="11">
        <f t="shared" ca="1" si="4"/>
        <v>45</v>
      </c>
      <c r="L90" s="12" t="str">
        <f t="shared" ca="1" si="5"/>
        <v>🟢 في المسار</v>
      </c>
      <c r="M90" s="21" t="s">
        <v>880</v>
      </c>
      <c r="N90" s="13" t="s">
        <v>877</v>
      </c>
      <c r="O90" s="13"/>
      <c r="P90" s="45" t="s">
        <v>36</v>
      </c>
    </row>
    <row r="91" spans="1:16" ht="30" hidden="1" customHeight="1" x14ac:dyDescent="0.4">
      <c r="A91" s="42">
        <v>89</v>
      </c>
      <c r="B91" s="5" t="s">
        <v>372</v>
      </c>
      <c r="C91" s="5" t="s">
        <v>55</v>
      </c>
      <c r="D91" s="5" t="s">
        <v>124</v>
      </c>
      <c r="E91" s="6"/>
      <c r="F91" s="7"/>
      <c r="G91" s="8" t="s">
        <v>28</v>
      </c>
      <c r="H91" s="9"/>
      <c r="I91" s="10"/>
      <c r="J91" s="10"/>
      <c r="K91" s="11" t="str">
        <f t="shared" ca="1" si="4"/>
        <v/>
      </c>
      <c r="L91" s="12" t="str">
        <f t="shared" ca="1" si="5"/>
        <v>🟢 مكتملة</v>
      </c>
      <c r="M91" s="5" t="s">
        <v>374</v>
      </c>
      <c r="N91" s="5" t="s">
        <v>857</v>
      </c>
      <c r="O91" s="5"/>
      <c r="P91" s="44" t="s">
        <v>36</v>
      </c>
    </row>
    <row r="92" spans="1:16" ht="30" hidden="1" customHeight="1" x14ac:dyDescent="0.4">
      <c r="A92" s="43">
        <v>90</v>
      </c>
      <c r="B92" s="13" t="s">
        <v>156</v>
      </c>
      <c r="C92" s="13" t="s">
        <v>31</v>
      </c>
      <c r="D92" s="13" t="s">
        <v>76</v>
      </c>
      <c r="E92" s="6" t="s">
        <v>853</v>
      </c>
      <c r="F92" s="7" t="s">
        <v>845</v>
      </c>
      <c r="G92" s="8" t="s">
        <v>28</v>
      </c>
      <c r="H92" s="15">
        <v>0.9</v>
      </c>
      <c r="I92" s="16"/>
      <c r="J92" s="16">
        <v>46091</v>
      </c>
      <c r="K92" s="11" t="str">
        <f t="shared" ca="1" si="4"/>
        <v>✓</v>
      </c>
      <c r="L92" s="12" t="str">
        <f t="shared" ca="1" si="5"/>
        <v>🟢 مكتملة</v>
      </c>
      <c r="M92" s="21"/>
      <c r="N92" s="13"/>
      <c r="O92" s="13"/>
      <c r="P92" s="45" t="s">
        <v>36</v>
      </c>
    </row>
    <row r="93" spans="1:16" ht="30" customHeight="1" x14ac:dyDescent="0.4">
      <c r="A93" s="42">
        <v>91</v>
      </c>
      <c r="B93" s="5" t="s">
        <v>233</v>
      </c>
      <c r="C93" s="5" t="s">
        <v>50</v>
      </c>
      <c r="D93" s="5" t="s">
        <v>234</v>
      </c>
      <c r="E93" s="6" t="s">
        <v>842</v>
      </c>
      <c r="F93" s="7" t="s">
        <v>845</v>
      </c>
      <c r="G93" s="8" t="s">
        <v>20</v>
      </c>
      <c r="H93" s="9">
        <v>0.2</v>
      </c>
      <c r="I93" s="10"/>
      <c r="J93" s="10">
        <v>46112</v>
      </c>
      <c r="K93" s="11">
        <f t="shared" ca="1" si="4"/>
        <v>-2</v>
      </c>
      <c r="L93" s="12" t="str">
        <f t="shared" ca="1" si="5"/>
        <v>🔴 متأخرة</v>
      </c>
      <c r="M93" s="20" t="s">
        <v>235</v>
      </c>
      <c r="N93" s="13" t="s">
        <v>877</v>
      </c>
      <c r="O93" s="5"/>
      <c r="P93" s="44" t="s">
        <v>36</v>
      </c>
    </row>
    <row r="94" spans="1:16" ht="30" customHeight="1" x14ac:dyDescent="0.4">
      <c r="A94" s="43">
        <v>92</v>
      </c>
      <c r="B94" s="13" t="s">
        <v>494</v>
      </c>
      <c r="C94" s="13" t="s">
        <v>31</v>
      </c>
      <c r="D94" s="13" t="s">
        <v>76</v>
      </c>
      <c r="E94" s="6" t="s">
        <v>840</v>
      </c>
      <c r="F94" s="7" t="s">
        <v>841</v>
      </c>
      <c r="G94" s="8" t="s">
        <v>20</v>
      </c>
      <c r="H94" s="15">
        <v>0</v>
      </c>
      <c r="I94" s="16"/>
      <c r="J94" s="16">
        <v>46203</v>
      </c>
      <c r="K94" s="11">
        <f t="shared" ca="1" si="4"/>
        <v>89</v>
      </c>
      <c r="L94" s="12" t="str">
        <f t="shared" ca="1" si="5"/>
        <v>🟢 في المسار</v>
      </c>
      <c r="M94" s="21" t="s">
        <v>495</v>
      </c>
      <c r="N94" s="13" t="s">
        <v>877</v>
      </c>
      <c r="O94" s="13"/>
      <c r="P94" s="45" t="s">
        <v>36</v>
      </c>
    </row>
    <row r="95" spans="1:16" ht="30" customHeight="1" x14ac:dyDescent="0.4">
      <c r="A95" s="42">
        <v>93</v>
      </c>
      <c r="B95" s="5" t="s">
        <v>534</v>
      </c>
      <c r="C95" s="5" t="s">
        <v>31</v>
      </c>
      <c r="D95" s="5" t="s">
        <v>76</v>
      </c>
      <c r="E95" s="6" t="s">
        <v>840</v>
      </c>
      <c r="F95" s="7" t="s">
        <v>845</v>
      </c>
      <c r="G95" s="8" t="s">
        <v>20</v>
      </c>
      <c r="H95" s="9">
        <v>0.5</v>
      </c>
      <c r="I95" s="10"/>
      <c r="J95" s="10">
        <v>46387</v>
      </c>
      <c r="K95" s="11">
        <f t="shared" ca="1" si="4"/>
        <v>273</v>
      </c>
      <c r="L95" s="12" t="str">
        <f t="shared" ca="1" si="5"/>
        <v>🟢 في المسار</v>
      </c>
      <c r="M95" s="20" t="s">
        <v>535</v>
      </c>
      <c r="N95" s="5" t="s">
        <v>536</v>
      </c>
      <c r="O95" s="5"/>
      <c r="P95" s="44" t="s">
        <v>36</v>
      </c>
    </row>
    <row r="96" spans="1:16" ht="30" customHeight="1" x14ac:dyDescent="0.4">
      <c r="A96" s="50">
        <v>94</v>
      </c>
      <c r="B96" s="51" t="s">
        <v>731</v>
      </c>
      <c r="C96" s="51" t="s">
        <v>26</v>
      </c>
      <c r="D96" s="51" t="s">
        <v>27</v>
      </c>
      <c r="E96" s="52" t="s">
        <v>853</v>
      </c>
      <c r="F96" s="53" t="s">
        <v>843</v>
      </c>
      <c r="G96" s="54" t="s">
        <v>20</v>
      </c>
      <c r="H96" s="55">
        <v>0.8</v>
      </c>
      <c r="I96" s="56"/>
      <c r="J96" s="56">
        <v>46112</v>
      </c>
      <c r="K96" s="57">
        <f t="shared" ca="1" si="4"/>
        <v>-2</v>
      </c>
      <c r="L96" s="58" t="str">
        <f t="shared" ca="1" si="5"/>
        <v>🔴 متأخرة</v>
      </c>
      <c r="M96" s="59" t="s">
        <v>859</v>
      </c>
      <c r="N96" s="13" t="s">
        <v>877</v>
      </c>
      <c r="O96" s="51"/>
      <c r="P96" s="60" t="s">
        <v>36</v>
      </c>
    </row>
    <row r="97" spans="1:16" ht="27.75" customHeight="1" x14ac:dyDescent="0.4">
      <c r="A97" s="60">
        <v>95</v>
      </c>
      <c r="B97" s="51" t="s">
        <v>867</v>
      </c>
      <c r="C97" s="51" t="s">
        <v>31</v>
      </c>
      <c r="D97" s="51" t="s">
        <v>76</v>
      </c>
      <c r="E97" s="52" t="s">
        <v>840</v>
      </c>
      <c r="F97" s="53" t="s">
        <v>844</v>
      </c>
      <c r="G97" s="54" t="s">
        <v>20</v>
      </c>
      <c r="H97" s="55">
        <v>0</v>
      </c>
      <c r="I97" s="56"/>
      <c r="J97" s="56">
        <f>'قاعدة بيانات المهام'!J417</f>
        <v>46122</v>
      </c>
      <c r="K97" s="57">
        <f ca="1">IFERROR(IF(J97="","",IF(G97="مكتملة","✓",J97-TODAY())),"تاريخ غير صحيح")</f>
        <v>8</v>
      </c>
      <c r="L97" s="58" t="str">
        <f ca="1">IF(G97="مكتملة","🟢 مكتملة",IF(G97="لم تبدأ","⚪ لم تبدأ",IF(J97&lt;TODAY(),"🔴 متأخرة",IF(AND(I97&lt;&gt;"",J97&lt;&gt;"",H97&lt;&gt;"",((TODAY()-I97)/(J97-I97)-H97)&gt;0.3),"🟡 تحتاج متابعة","🟢 في المسار"))))</f>
        <v>🟢 في المسار</v>
      </c>
      <c r="M97" s="21" t="s">
        <v>868</v>
      </c>
      <c r="N97" s="13" t="s">
        <v>877</v>
      </c>
      <c r="O97" s="51"/>
      <c r="P97" s="60" t="s">
        <v>36</v>
      </c>
    </row>
    <row r="98" spans="1:16" ht="27.75" customHeight="1" x14ac:dyDescent="0.4">
      <c r="A98" s="60">
        <v>96</v>
      </c>
      <c r="B98" s="51" t="s">
        <v>869</v>
      </c>
      <c r="C98" s="51" t="s">
        <v>97</v>
      </c>
      <c r="D98" s="51" t="s">
        <v>98</v>
      </c>
      <c r="E98" s="52" t="s">
        <v>853</v>
      </c>
      <c r="F98" s="53" t="s">
        <v>845</v>
      </c>
      <c r="G98" s="54" t="s">
        <v>20</v>
      </c>
      <c r="H98" s="55">
        <v>0.75</v>
      </c>
      <c r="I98" s="56"/>
      <c r="J98" s="56">
        <v>46112</v>
      </c>
      <c r="K98" s="57">
        <f ca="1">IFERROR(IF(J98="","",IF(G98="مكتملة","✓",J98-TODAY())),"تاريخ غير صحيح")</f>
        <v>-2</v>
      </c>
      <c r="L98" s="58" t="str">
        <f ca="1">IF(G98="مكتملة","🟢 مكتملة",IF(G98="لم تبدأ","⚪ لم تبدأ",IF(J98&lt;TODAY(),"🔴 متأخرة",IF(AND(I98&lt;&gt;"",J98&lt;&gt;"",H98&lt;&gt;"",((TODAY()-I98)/(J98-I98)-H98)&gt;0.3),"🟡 تحتاج متابعة","🟢 في المسار"))))</f>
        <v>🔴 متأخرة</v>
      </c>
      <c r="M98" s="21" t="s">
        <v>868</v>
      </c>
      <c r="N98" s="51"/>
      <c r="O98" s="51"/>
      <c r="P98" s="60" t="s">
        <v>36</v>
      </c>
    </row>
    <row r="99" spans="1:16" ht="27.75" customHeight="1" x14ac:dyDescent="0.4">
      <c r="A99" s="60">
        <v>9</v>
      </c>
      <c r="B99" s="51" t="s">
        <v>870</v>
      </c>
      <c r="C99" s="51" t="s">
        <v>97</v>
      </c>
      <c r="D99" s="51" t="s">
        <v>98</v>
      </c>
      <c r="E99" s="52" t="s">
        <v>853</v>
      </c>
      <c r="F99" s="53" t="s">
        <v>845</v>
      </c>
      <c r="G99" s="54" t="s">
        <v>20</v>
      </c>
      <c r="H99" s="55">
        <v>0.75</v>
      </c>
      <c r="I99" s="56"/>
      <c r="J99" s="56">
        <v>46112</v>
      </c>
      <c r="K99" s="57">
        <f ca="1">IFERROR(IF(J99="","",IF(G99="مكتملة","✓",J99-TODAY())),"تاريخ غير صحيح")</f>
        <v>-2</v>
      </c>
      <c r="L99" s="58" t="str">
        <f ca="1">IF(G99="مكتملة","🟢 مكتملة",IF(G99="لم تبدأ","⚪ لم تبدأ",IF(J99&lt;TODAY(),"🔴 متأخرة",IF(AND(I99&lt;&gt;"",J99&lt;&gt;"",H99&lt;&gt;"",((TODAY()-I99)/(J99-I99)-H99)&gt;0.3),"🟡 تحتاج متابعة","🟢 في المسار"))))</f>
        <v>🔴 متأخرة</v>
      </c>
      <c r="M99" s="21" t="s">
        <v>868</v>
      </c>
      <c r="N99" s="51"/>
      <c r="O99" s="51"/>
      <c r="P99" s="60" t="s">
        <v>36</v>
      </c>
    </row>
    <row r="100" spans="1:16" ht="27.75" customHeight="1" x14ac:dyDescent="0.4">
      <c r="A100" s="60">
        <v>97</v>
      </c>
      <c r="B100" s="51" t="s">
        <v>871</v>
      </c>
      <c r="C100" s="51" t="s">
        <v>31</v>
      </c>
      <c r="D100" s="51" t="s">
        <v>76</v>
      </c>
      <c r="E100" s="52" t="s">
        <v>853</v>
      </c>
      <c r="F100" s="53" t="s">
        <v>844</v>
      </c>
      <c r="G100" s="54" t="s">
        <v>20</v>
      </c>
      <c r="H100" s="55">
        <v>0.9</v>
      </c>
      <c r="I100" s="56"/>
      <c r="J100" s="56">
        <v>46112</v>
      </c>
      <c r="K100" s="57">
        <f t="shared" ref="K100:K103" ca="1" si="6">IFERROR(IF(J100="","",IF(G100="مكتملة","✓",J100-TODAY())),"تاريخ غير صحيح")</f>
        <v>-2</v>
      </c>
      <c r="L100" s="58" t="str">
        <f ca="1">IF(G100="مكتملة","🟢 مكتملة",IF(G100="لم تبدأ","⚪ لم تبدأ",IF(J100&lt;TODAY(),"🔴 متأخرة",IF(AND(I100&lt;&gt;"",J100&lt;&gt;"",H100&lt;&gt;"",((TODAY()-I100)/(J100-I100)-H100)&gt;0.3),"🟡 تحتاج متابعة","🟢 في المسار"))))</f>
        <v>🔴 متأخرة</v>
      </c>
      <c r="M100" s="21" t="s">
        <v>881</v>
      </c>
      <c r="N100" s="51" t="s">
        <v>882</v>
      </c>
      <c r="O100" s="51"/>
      <c r="P100" s="60"/>
    </row>
    <row r="101" spans="1:16" ht="27.75" customHeight="1" x14ac:dyDescent="0.4">
      <c r="A101" s="60"/>
      <c r="B101" s="51" t="s">
        <v>872</v>
      </c>
      <c r="C101" s="51" t="s">
        <v>883</v>
      </c>
      <c r="D101" s="51" t="s">
        <v>884</v>
      </c>
      <c r="E101" s="52" t="s">
        <v>853</v>
      </c>
      <c r="F101" s="53" t="s">
        <v>844</v>
      </c>
      <c r="G101" s="54" t="s">
        <v>28</v>
      </c>
      <c r="H101" s="55"/>
      <c r="I101" s="56"/>
      <c r="J101" s="56">
        <v>46112</v>
      </c>
      <c r="K101" s="57" t="str">
        <f t="shared" ca="1" si="6"/>
        <v>✓</v>
      </c>
      <c r="L101" s="58" t="str">
        <f t="shared" ref="L101:L103" ca="1" si="7">IF(G101="مكتملة","🟢 مكتملة",IF(G101="لم تبدأ","⚪ لم تبدأ",IF(J101&lt;TODAY(),"🔴 متأخرة",IF(AND(I101&lt;&gt;"",J101&lt;&gt;"",H101&lt;&gt;"",((TODAY()-I101)/(J101-I101)-H101)&gt;0.3),"🟡 تحتاج متابعة","🟢 في المسار"))))</f>
        <v>🟢 مكتملة</v>
      </c>
      <c r="M101" s="21"/>
      <c r="N101" s="51"/>
      <c r="O101" s="51"/>
      <c r="P101" s="60"/>
    </row>
    <row r="102" spans="1:16" ht="27.75" customHeight="1" x14ac:dyDescent="0.4">
      <c r="A102" s="60"/>
      <c r="B102" s="51" t="s">
        <v>885</v>
      </c>
      <c r="C102" s="51" t="s">
        <v>863</v>
      </c>
      <c r="D102" s="51" t="s">
        <v>886</v>
      </c>
      <c r="E102" s="52" t="s">
        <v>840</v>
      </c>
      <c r="F102" s="53" t="s">
        <v>844</v>
      </c>
      <c r="G102" s="54" t="s">
        <v>20</v>
      </c>
      <c r="H102" s="55"/>
      <c r="I102" s="56"/>
      <c r="J102" s="56"/>
      <c r="K102" s="57" t="str">
        <f t="shared" ca="1" si="6"/>
        <v/>
      </c>
      <c r="L102" s="58" t="str">
        <f t="shared" ca="1" si="7"/>
        <v>🔴 متأخرة</v>
      </c>
      <c r="M102" s="21" t="s">
        <v>887</v>
      </c>
      <c r="N102" s="51"/>
      <c r="O102" s="51"/>
      <c r="P102" s="60"/>
    </row>
    <row r="103" spans="1:16" ht="27.75" customHeight="1" x14ac:dyDescent="0.4">
      <c r="A103" s="60"/>
      <c r="B103" s="51" t="s">
        <v>888</v>
      </c>
      <c r="C103" s="51"/>
      <c r="D103" s="51" t="s">
        <v>890</v>
      </c>
      <c r="E103" s="52"/>
      <c r="F103" s="53"/>
      <c r="G103" s="54"/>
      <c r="H103" s="55"/>
      <c r="I103" s="56"/>
      <c r="J103" s="56"/>
      <c r="K103" s="57" t="str">
        <f t="shared" ca="1" si="6"/>
        <v/>
      </c>
      <c r="L103" s="58" t="str">
        <f t="shared" ca="1" si="7"/>
        <v>🔴 متأخرة</v>
      </c>
      <c r="M103" s="21" t="s">
        <v>889</v>
      </c>
      <c r="N103" s="51"/>
      <c r="O103" s="51"/>
      <c r="P103" s="60"/>
    </row>
    <row r="104" spans="1:16" ht="27.75" customHeight="1" x14ac:dyDescent="0.4">
      <c r="A104" s="60"/>
      <c r="B104" s="51" t="s">
        <v>892</v>
      </c>
      <c r="C104" s="51" t="s">
        <v>863</v>
      </c>
      <c r="D104" s="51" t="s">
        <v>56</v>
      </c>
      <c r="E104" s="52" t="s">
        <v>853</v>
      </c>
      <c r="F104" s="53" t="s">
        <v>844</v>
      </c>
      <c r="G104" s="54" t="s">
        <v>20</v>
      </c>
      <c r="H104" s="55"/>
      <c r="I104" s="56"/>
      <c r="J104" s="56">
        <v>46142</v>
      </c>
      <c r="K104" s="57">
        <f t="shared" ref="K104" ca="1" si="8">IFERROR(IF(J104="","",IF(G104="مكتملة","✓",J104-TODAY())),"تاريخ غير صحيح")</f>
        <v>28</v>
      </c>
      <c r="L104" s="58" t="str">
        <f t="shared" ref="L104" ca="1" si="9">IF(G104="مكتملة","🟢 مكتملة",IF(G104="لم تبدأ","⚪ لم تبدأ",IF(J104&lt;TODAY(),"🔴 متأخرة",IF(AND(I104&lt;&gt;"",J104&lt;&gt;"",H104&lt;&gt;"",((TODAY()-I104)/(J104-I104)-H104)&gt;0.3),"🟡 تحتاج متابعة","🟢 في المسار"))))</f>
        <v>🟢 في المسار</v>
      </c>
      <c r="M104" s="21" t="s">
        <v>893</v>
      </c>
      <c r="N104" s="51"/>
      <c r="O104" s="51"/>
      <c r="P104" s="60"/>
    </row>
    <row r="105" spans="1:16" ht="27.75" customHeight="1" x14ac:dyDescent="0.4">
      <c r="A105" s="60"/>
      <c r="B105" s="51" t="s">
        <v>894</v>
      </c>
      <c r="C105" s="51" t="s">
        <v>895</v>
      </c>
      <c r="D105" s="51" t="s">
        <v>896</v>
      </c>
      <c r="E105" s="52" t="s">
        <v>840</v>
      </c>
      <c r="F105" s="53" t="s">
        <v>844</v>
      </c>
      <c r="G105" s="54" t="s">
        <v>20</v>
      </c>
      <c r="H105" s="55"/>
      <c r="I105" s="56"/>
      <c r="J105" s="56">
        <v>46142</v>
      </c>
      <c r="K105" s="57">
        <f t="shared" ref="K105" ca="1" si="10">IFERROR(IF(J105="","",IF(G105="مكتملة","✓",J105-TODAY())),"تاريخ غير صحيح")</f>
        <v>28</v>
      </c>
      <c r="L105" s="58" t="str">
        <f t="shared" ref="L105" ca="1" si="11">IF(G105="مكتملة","🟢 مكتملة",IF(G105="لم تبدأ","⚪ لم تبدأ",IF(J105&lt;TODAY(),"🔴 متأخرة",IF(AND(I105&lt;&gt;"",J105&lt;&gt;"",H105&lt;&gt;"",((TODAY()-I105)/(J105-I105)-H105)&gt;0.3),"🟡 تحتاج متابعة","🟢 في المسار"))))</f>
        <v>🟢 في المسار</v>
      </c>
      <c r="M105" s="21" t="s">
        <v>897</v>
      </c>
      <c r="N105" s="51"/>
      <c r="O105" s="51"/>
      <c r="P105" s="60"/>
    </row>
  </sheetData>
  <mergeCells count="1">
    <mergeCell ref="G1:L1"/>
  </mergeCells>
  <conditionalFormatting sqref="A98:L104">
    <cfRule type="expression" dxfId="16" priority="3">
      <formula>AND($J98&lt;TODAY(),$G98&lt;&gt;"مكتملة")</formula>
    </cfRule>
  </conditionalFormatting>
  <conditionalFormatting sqref="A3:P96 A97:L97 N97:P97">
    <cfRule type="expression" dxfId="15" priority="17">
      <formula>AND($J3&lt;TODAY(),$G3&lt;&gt;"مكتملة")</formula>
    </cfRule>
  </conditionalFormatting>
  <conditionalFormatting sqref="L3:L105">
    <cfRule type="expression" dxfId="14" priority="14">
      <formula>LEFT(L3,1)="🔴"</formula>
    </cfRule>
    <cfRule type="expression" dxfId="13" priority="15">
      <formula>LEFT(L3,1)="🟡"</formula>
    </cfRule>
    <cfRule type="expression" dxfId="12" priority="16">
      <formula>LEFT(L3,1)="🟢"</formula>
    </cfRule>
  </conditionalFormatting>
  <conditionalFormatting sqref="M97:M105">
    <cfRule type="expression" dxfId="11" priority="12">
      <formula>AND($J97&lt;TODAY(),$G97&lt;&gt;"مكتملة")</formula>
    </cfRule>
  </conditionalFormatting>
  <conditionalFormatting sqref="N98:P104">
    <cfRule type="expression" dxfId="10" priority="4">
      <formula>AND($J98&lt;TODAY(),$G98&lt;&gt;"مكتملة")</formula>
    </cfRule>
  </conditionalFormatting>
  <conditionalFormatting sqref="A105:L105">
    <cfRule type="expression" dxfId="1" priority="1">
      <formula>AND($J105&lt;TODAY(),$G105&lt;&gt;"مكتملة")</formula>
    </cfRule>
  </conditionalFormatting>
  <conditionalFormatting sqref="N105:P105">
    <cfRule type="expression" dxfId="0" priority="2">
      <formula>AND($J105&lt;TODAY(),$G105&lt;&gt;"مكتملة")</formula>
    </cfRule>
  </conditionalFormatting>
  <dataValidations count="2">
    <dataValidation type="list" allowBlank="1" sqref="E3:E105" xr:uid="{00000000-0002-0000-0100-000000000000}">
      <formula1>"P1 - عاجل,P2 - مهم,P3 - عادي"</formula1>
      <formula2>0</formula2>
    </dataValidation>
    <dataValidation type="list" allowBlank="1" sqref="F3:F105" xr:uid="{00000000-0002-0000-0100-000001000000}">
      <formula1>"نمو الإيرادات,الامتثال والمخاطر,التميز التشغيلي,التحول الرقمي,الكفاءات والأفراد"</formula1>
      <formula2>0</formula2>
    </dataValidation>
  </dataValidations>
  <pageMargins left="0.75" right="0.75" top="1" bottom="1" header="0.511811023622047" footer="0.511811023622047"/>
  <pageSetup paperSize="9" orientation="portrait" horizontalDpi="300" verticalDpi="300"/>
  <headerFooter>
    <oddHeader>&amp;C&amp;"Aptos"&amp;12&amp;K0000FF Internal&amp;1#_x000D_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sheetPr>
  <dimension ref="A1:K19"/>
  <sheetViews>
    <sheetView rightToLeft="1" topLeftCell="A2" zoomScaleNormal="100" workbookViewId="0">
      <selection activeCell="B19" sqref="B19"/>
    </sheetView>
  </sheetViews>
  <sheetFormatPr defaultColWidth="8.6640625" defaultRowHeight="15.6" x14ac:dyDescent="0.4"/>
  <cols>
    <col min="1" max="1" width="22" style="4" customWidth="1"/>
    <col min="2" max="2" width="14" style="4" customWidth="1"/>
    <col min="3" max="3" width="12" style="4" customWidth="1"/>
    <col min="4" max="4" width="13" style="4" customWidth="1"/>
    <col min="5" max="5" width="12" style="4" customWidth="1"/>
    <col min="6" max="6" width="14" style="4" customWidth="1"/>
    <col min="7" max="7" width="16" style="4" customWidth="1"/>
    <col min="8" max="9" width="18" style="4" customWidth="1"/>
    <col min="10" max="10" width="15" style="4" customWidth="1"/>
    <col min="11" max="11" width="47.44140625" style="4" customWidth="1"/>
    <col min="12" max="16384" width="8.6640625" style="4"/>
  </cols>
  <sheetData>
    <row r="1" spans="1:11" ht="45" customHeight="1" x14ac:dyDescent="0.4">
      <c r="A1" s="63" t="s">
        <v>861</v>
      </c>
      <c r="B1" s="63"/>
      <c r="C1" s="63"/>
      <c r="D1" s="63"/>
      <c r="E1" s="63"/>
      <c r="F1" s="63"/>
      <c r="G1" s="63"/>
      <c r="H1" s="63"/>
      <c r="I1" s="63"/>
      <c r="J1" s="63"/>
      <c r="K1" s="63"/>
    </row>
    <row r="2" spans="1:11" s="17" customFormat="1" ht="33" customHeight="1" x14ac:dyDescent="0.35">
      <c r="A2" s="38" t="s">
        <v>3</v>
      </c>
      <c r="B2" s="38" t="s">
        <v>790</v>
      </c>
      <c r="C2" s="38" t="s">
        <v>28</v>
      </c>
      <c r="D2" s="38" t="s">
        <v>20</v>
      </c>
      <c r="E2" s="38" t="s">
        <v>48</v>
      </c>
      <c r="F2" s="38" t="s">
        <v>791</v>
      </c>
      <c r="G2" s="38" t="s">
        <v>792</v>
      </c>
      <c r="H2" s="38" t="s">
        <v>793</v>
      </c>
      <c r="I2" s="38" t="s">
        <v>794</v>
      </c>
      <c r="J2" s="38" t="s">
        <v>795</v>
      </c>
      <c r="K2" s="38" t="s">
        <v>796</v>
      </c>
    </row>
    <row r="3" spans="1:11" ht="27.75" customHeight="1" x14ac:dyDescent="0.4">
      <c r="A3" s="24" t="s">
        <v>42</v>
      </c>
      <c r="B3" s="5">
        <f>COUNTIF('قاعدة بيانات المهام'!C:C,A3)</f>
        <v>49</v>
      </c>
      <c r="C3" s="5">
        <f>COUNTIFS('قاعدة بيانات المهام'!C:C,A3,'قاعدة بيانات المهام'!G:G,"مكتملة")</f>
        <v>30</v>
      </c>
      <c r="D3" s="5">
        <f>COUNTIFS('قاعدة بيانات المهام'!C:C,A3,'قاعدة بيانات المهام'!G:G,"جاري العمل")</f>
        <v>19</v>
      </c>
      <c r="E3" s="13">
        <f>COUNTIFS('قاعدة بيانات المهام'!C:C,A3,'قاعدة بيانات المهام'!G:G,"لم تبدأ")</f>
        <v>0</v>
      </c>
      <c r="F3" s="25">
        <f t="shared" ref="F3:F18" si="0">IFERROR(C3/B3,0)</f>
        <v>0.61224489795918369</v>
      </c>
      <c r="G3" s="26">
        <f>IFERROR(AVERAGEIF('قاعدة بيانات المهام'!C:C,A3,'قاعدة بيانات المهام'!H:H),0)</f>
        <v>0.96896551724137936</v>
      </c>
      <c r="H3" s="5">
        <f>COUNTIFS('قاعدة بيانات المهام'!C:C,A3,'قاعدة بيانات المهام'!P:P,"2026 Tasks")</f>
        <v>13</v>
      </c>
      <c r="I3" s="27">
        <f ca="1">COUNTIFS('قاعدة بيانات المهام'!C:C,A3,'قاعدة بيانات المهام'!P:P,"2026 Tasks",'قاعدة بيانات المهام'!G:G,"&lt;&gt;مكتملة",'قاعدة بيانات المهام'!J:J,"&lt;"&amp;TODAY(),'قاعدة بيانات المهام'!J:J,"&lt;&gt;")</f>
        <v>1</v>
      </c>
      <c r="J3" s="28" t="str">
        <f t="shared" ref="J3:J18" si="1">IF(F3&gt;=0.75,"ممتاز 🏆",IF(F3&gt;=0.55,"جيد ✅",IF(F3&gt;=0.35,"متوسط ⚠️","يحتاج اهتمام 🔴")))</f>
        <v>جيد ✅</v>
      </c>
      <c r="K3" s="29" t="s">
        <v>797</v>
      </c>
    </row>
    <row r="4" spans="1:11" ht="27.75" customHeight="1" x14ac:dyDescent="0.4">
      <c r="A4" s="30" t="s">
        <v>55</v>
      </c>
      <c r="B4" s="13">
        <f>COUNTIF('قاعدة بيانات المهام'!C:C,A4)</f>
        <v>73</v>
      </c>
      <c r="C4" s="13">
        <f>COUNTIFS('قاعدة بيانات المهام'!C:C,A4,'قاعدة بيانات المهام'!G:G,"مكتملة")</f>
        <v>35</v>
      </c>
      <c r="D4" s="13">
        <f>COUNTIFS('قاعدة بيانات المهام'!C:C,A4,'قاعدة بيانات المهام'!G:G,"جاري العمل")</f>
        <v>38</v>
      </c>
      <c r="E4" s="13">
        <f>COUNTIFS('قاعدة بيانات المهام'!C:C,A4,'قاعدة بيانات المهام'!G:G,"لم تبدأ")</f>
        <v>0</v>
      </c>
      <c r="F4" s="31">
        <f t="shared" si="0"/>
        <v>0.47945205479452052</v>
      </c>
      <c r="G4" s="32">
        <f>IFERROR(AVERAGEIF('قاعدة بيانات المهام'!C:C,A4,'قاعدة بيانات المهام'!H:H),0)</f>
        <v>0.90156249999999993</v>
      </c>
      <c r="H4" s="13">
        <f>COUNTIFS('قاعدة بيانات المهام'!C:C,A4,'قاعدة بيانات المهام'!P:P,"2026 Tasks")</f>
        <v>14</v>
      </c>
      <c r="I4" s="33">
        <f ca="1">COUNTIFS('قاعدة بيانات المهام'!C:C,A4,'قاعدة بيانات المهام'!P:P,"2026 Tasks",'قاعدة بيانات المهام'!G:G,"&lt;&gt;مكتملة",'قاعدة بيانات المهام'!J:J,"&lt;"&amp;TODAY(),'قاعدة بيانات المهام'!J:J,"&lt;&gt;")</f>
        <v>2</v>
      </c>
      <c r="J4" s="34" t="str">
        <f t="shared" si="1"/>
        <v>متوسط ⚠️</v>
      </c>
      <c r="K4" s="35" t="s">
        <v>798</v>
      </c>
    </row>
    <row r="5" spans="1:11" ht="27.75" customHeight="1" x14ac:dyDescent="0.4">
      <c r="A5" s="24" t="s">
        <v>31</v>
      </c>
      <c r="B5" s="5">
        <f>COUNTIF('قاعدة بيانات المهام'!C:C,A5)</f>
        <v>74</v>
      </c>
      <c r="C5" s="5">
        <f>COUNTIFS('قاعدة بيانات المهام'!C:C,A5,'قاعدة بيانات المهام'!G:G,"مكتملة")</f>
        <v>48</v>
      </c>
      <c r="D5" s="5">
        <f>COUNTIFS('قاعدة بيانات المهام'!C:C,A5,'قاعدة بيانات المهام'!G:G,"جاري العمل")</f>
        <v>26</v>
      </c>
      <c r="E5" s="13">
        <f>COUNTIFS('قاعدة بيانات المهام'!C:C,A5,'قاعدة بيانات المهام'!G:G,"لم تبدأ")</f>
        <v>0</v>
      </c>
      <c r="F5" s="25">
        <f t="shared" si="0"/>
        <v>0.64864864864864868</v>
      </c>
      <c r="G5" s="26">
        <f>IFERROR(AVERAGEIF('قاعدة بيانات المهام'!C:C,A5,'قاعدة بيانات المهام'!H:H),0)</f>
        <v>0.91428571428571426</v>
      </c>
      <c r="H5" s="5">
        <f>COUNTIFS('قاعدة بيانات المهام'!C:C,A5,'قاعدة بيانات المهام'!P:P,"2026 Tasks")</f>
        <v>19</v>
      </c>
      <c r="I5" s="27">
        <f ca="1">COUNTIFS('قاعدة بيانات المهام'!C:C,A5,'قاعدة بيانات المهام'!P:P,"2026 Tasks",'قاعدة بيانات المهام'!G:G,"&lt;&gt;مكتملة",'قاعدة بيانات المهام'!J:J,"&lt;"&amp;TODAY(),'قاعدة بيانات المهام'!J:J,"&lt;&gt;")</f>
        <v>3</v>
      </c>
      <c r="J5" s="28" t="str">
        <f t="shared" si="1"/>
        <v>جيد ✅</v>
      </c>
      <c r="K5" s="29" t="s">
        <v>797</v>
      </c>
    </row>
    <row r="6" spans="1:11" ht="27.75" customHeight="1" x14ac:dyDescent="0.4">
      <c r="A6" s="30" t="s">
        <v>229</v>
      </c>
      <c r="B6" s="13">
        <f>COUNTIF('قاعدة بيانات المهام'!C:C,A6)</f>
        <v>7</v>
      </c>
      <c r="C6" s="13">
        <f>COUNTIFS('قاعدة بيانات المهام'!C:C,A6,'قاعدة بيانات المهام'!G:G,"مكتملة")</f>
        <v>4</v>
      </c>
      <c r="D6" s="13">
        <f>COUNTIFS('قاعدة بيانات المهام'!C:C,A6,'قاعدة بيانات المهام'!G:G,"جاري العمل")</f>
        <v>3</v>
      </c>
      <c r="E6" s="13">
        <f>COUNTIFS('قاعدة بيانات المهام'!C:C,A6,'قاعدة بيانات المهام'!G:G,"لم تبدأ")</f>
        <v>0</v>
      </c>
      <c r="F6" s="31">
        <f t="shared" si="0"/>
        <v>0.5714285714285714</v>
      </c>
      <c r="G6" s="32">
        <f>IFERROR(AVERAGEIF('قاعدة بيانات المهام'!C:C,A6,'قاعدة بيانات المهام'!H:H),0)</f>
        <v>0.86250000000000004</v>
      </c>
      <c r="H6" s="13">
        <f>COUNTIFS('قاعدة بيانات المهام'!C:C,A6,'قاعدة بيانات المهام'!P:P,"2026 Tasks")</f>
        <v>0</v>
      </c>
      <c r="I6" s="33">
        <f ca="1">COUNTIFS('قاعدة بيانات المهام'!C:C,A6,'قاعدة بيانات المهام'!P:P,"2026 Tasks",'قاعدة بيانات المهام'!G:G,"&lt;&gt;مكتملة",'قاعدة بيانات المهام'!J:J,"&lt;"&amp;TODAY(),'قاعدة بيانات المهام'!J:J,"&lt;&gt;")</f>
        <v>0</v>
      </c>
      <c r="J6" s="34" t="str">
        <f t="shared" si="1"/>
        <v>جيد ✅</v>
      </c>
      <c r="K6" s="35" t="s">
        <v>797</v>
      </c>
    </row>
    <row r="7" spans="1:11" ht="27.75" customHeight="1" x14ac:dyDescent="0.4">
      <c r="A7" s="24" t="s">
        <v>26</v>
      </c>
      <c r="B7" s="5">
        <f>COUNTIF('قاعدة بيانات المهام'!C:C,A7)</f>
        <v>54</v>
      </c>
      <c r="C7" s="5">
        <f>COUNTIFS('قاعدة بيانات المهام'!C:C,A7,'قاعدة بيانات المهام'!G:G,"مكتملة")</f>
        <v>30</v>
      </c>
      <c r="D7" s="5">
        <f>COUNTIFS('قاعدة بيانات المهام'!C:C,A7,'قاعدة بيانات المهام'!G:G,"جاري العمل")</f>
        <v>24</v>
      </c>
      <c r="E7" s="13">
        <f>COUNTIFS('قاعدة بيانات المهام'!C:C,A7,'قاعدة بيانات المهام'!G:G,"لم تبدأ")</f>
        <v>0</v>
      </c>
      <c r="F7" s="25">
        <f t="shared" si="0"/>
        <v>0.55555555555555558</v>
      </c>
      <c r="G7" s="26">
        <f>IFERROR(AVERAGEIF('قاعدة بيانات المهام'!C:C,A7,'قاعدة بيانات المهام'!H:H),0)</f>
        <v>0.89687499999999998</v>
      </c>
      <c r="H7" s="5">
        <f>COUNTIFS('قاعدة بيانات المهام'!C:C,A7,'قاعدة بيانات المهام'!P:P,"2026 Tasks")</f>
        <v>17</v>
      </c>
      <c r="I7" s="27">
        <f ca="1">COUNTIFS('قاعدة بيانات المهام'!C:C,A7,'قاعدة بيانات المهام'!P:P,"2026 Tasks",'قاعدة بيانات المهام'!G:G,"&lt;&gt;مكتملة",'قاعدة بيانات المهام'!J:J,"&lt;"&amp;TODAY(),'قاعدة بيانات المهام'!J:J,"&lt;&gt;")</f>
        <v>3</v>
      </c>
      <c r="J7" s="28" t="str">
        <f t="shared" si="1"/>
        <v>جيد ✅</v>
      </c>
      <c r="K7" s="29" t="s">
        <v>799</v>
      </c>
    </row>
    <row r="8" spans="1:11" ht="27.75" customHeight="1" x14ac:dyDescent="0.4">
      <c r="A8" s="30" t="s">
        <v>63</v>
      </c>
      <c r="B8" s="13">
        <f>COUNTIF('قاعدة بيانات المهام'!C:C,A8)</f>
        <v>20</v>
      </c>
      <c r="C8" s="13">
        <f>COUNTIFS('قاعدة بيانات المهام'!C:C,A8,'قاعدة بيانات المهام'!G:G,"مكتملة")</f>
        <v>16</v>
      </c>
      <c r="D8" s="13">
        <f>COUNTIFS('قاعدة بيانات المهام'!C:C,A8,'قاعدة بيانات المهام'!G:G,"جاري العمل")</f>
        <v>4</v>
      </c>
      <c r="E8" s="13">
        <f>COUNTIFS('قاعدة بيانات المهام'!C:C,A8,'قاعدة بيانات المهام'!G:G,"لم تبدأ")</f>
        <v>0</v>
      </c>
      <c r="F8" s="31">
        <f t="shared" si="0"/>
        <v>0.8</v>
      </c>
      <c r="G8" s="32">
        <f>IFERROR(AVERAGEIF('قاعدة بيانات المهام'!C:C,A8,'قاعدة بيانات المهام'!H:H),0)</f>
        <v>0.96071428571428563</v>
      </c>
      <c r="H8" s="13">
        <f>COUNTIFS('قاعدة بيانات المهام'!C:C,A8,'قاعدة بيانات المهام'!P:P,"2026 Tasks")</f>
        <v>10</v>
      </c>
      <c r="I8" s="33">
        <f ca="1">COUNTIFS('قاعدة بيانات المهام'!C:C,A8,'قاعدة بيانات المهام'!P:P,"2026 Tasks",'قاعدة بيانات المهام'!G:G,"&lt;&gt;مكتملة",'قاعدة بيانات المهام'!J:J,"&lt;"&amp;TODAY(),'قاعدة بيانات المهام'!J:J,"&lt;&gt;")</f>
        <v>0</v>
      </c>
      <c r="J8" s="34" t="str">
        <f t="shared" si="1"/>
        <v>ممتاز 🏆</v>
      </c>
      <c r="K8" s="35" t="s">
        <v>797</v>
      </c>
    </row>
    <row r="9" spans="1:11" ht="27.75" customHeight="1" x14ac:dyDescent="0.4">
      <c r="A9" s="24" t="s">
        <v>97</v>
      </c>
      <c r="B9" s="5">
        <f>COUNTIF('قاعدة بيانات المهام'!C:C,A9)</f>
        <v>23</v>
      </c>
      <c r="C9" s="5">
        <f>COUNTIFS('قاعدة بيانات المهام'!C:C,A9,'قاعدة بيانات المهام'!G:G,"مكتملة")</f>
        <v>23</v>
      </c>
      <c r="D9" s="5">
        <f>COUNTIFS('قاعدة بيانات المهام'!C:C,A9,'قاعدة بيانات المهام'!G:G,"جاري العمل")</f>
        <v>0</v>
      </c>
      <c r="E9" s="13">
        <f>COUNTIFS('قاعدة بيانات المهام'!C:C,A9,'قاعدة بيانات المهام'!G:G,"لم تبدأ")</f>
        <v>0</v>
      </c>
      <c r="F9" s="25">
        <f t="shared" si="0"/>
        <v>1</v>
      </c>
      <c r="G9" s="26">
        <f>IFERROR(AVERAGEIF('قاعدة بيانات المهام'!C:C,A9,'قاعدة بيانات المهام'!H:H),0)</f>
        <v>0.9882352941176471</v>
      </c>
      <c r="H9" s="5">
        <f>COUNTIFS('قاعدة بيانات المهام'!C:C,A9,'قاعدة بيانات المهام'!P:P,"2026 Tasks")</f>
        <v>8</v>
      </c>
      <c r="I9" s="27">
        <f ca="1">COUNTIFS('قاعدة بيانات المهام'!C:C,A9,'قاعدة بيانات المهام'!P:P,"2026 Tasks",'قاعدة بيانات المهام'!G:G,"&lt;&gt;مكتملة",'قاعدة بيانات المهام'!J:J,"&lt;"&amp;TODAY(),'قاعدة بيانات المهام'!J:J,"&lt;&gt;")</f>
        <v>0</v>
      </c>
      <c r="J9" s="28" t="str">
        <f t="shared" si="1"/>
        <v>ممتاز 🏆</v>
      </c>
      <c r="K9" s="29" t="s">
        <v>800</v>
      </c>
    </row>
    <row r="10" spans="1:11" ht="27.75" customHeight="1" x14ac:dyDescent="0.4">
      <c r="A10" s="30" t="s">
        <v>50</v>
      </c>
      <c r="B10" s="13">
        <f>COUNTIF('قاعدة بيانات المهام'!C:C,A10)</f>
        <v>19</v>
      </c>
      <c r="C10" s="13">
        <f>COUNTIFS('قاعدة بيانات المهام'!C:C,A10,'قاعدة بيانات المهام'!G:G,"مكتملة")</f>
        <v>6</v>
      </c>
      <c r="D10" s="13">
        <f>COUNTIFS('قاعدة بيانات المهام'!C:C,A10,'قاعدة بيانات المهام'!G:G,"جاري العمل")</f>
        <v>13</v>
      </c>
      <c r="E10" s="13">
        <f>COUNTIFS('قاعدة بيانات المهام'!C:C,A10,'قاعدة بيانات المهام'!G:G,"لم تبدأ")</f>
        <v>0</v>
      </c>
      <c r="F10" s="31">
        <f t="shared" si="0"/>
        <v>0.31578947368421051</v>
      </c>
      <c r="G10" s="32">
        <f>IFERROR(AVERAGEIF('قاعدة بيانات المهام'!C:C,A10,'قاعدة بيانات المهام'!H:H),0)</f>
        <v>0.75384615384615394</v>
      </c>
      <c r="H10" s="13">
        <f>COUNTIFS('قاعدة بيانات المهام'!C:C,A10,'قاعدة بيانات المهام'!P:P,"2026 Tasks")</f>
        <v>2</v>
      </c>
      <c r="I10" s="33">
        <f ca="1">COUNTIFS('قاعدة بيانات المهام'!C:C,A10,'قاعدة بيانات المهام'!P:P,"2026 Tasks",'قاعدة بيانات المهام'!G:G,"&lt;&gt;مكتملة",'قاعدة بيانات المهام'!J:J,"&lt;"&amp;TODAY(),'قاعدة بيانات المهام'!J:J,"&lt;&gt;")</f>
        <v>1</v>
      </c>
      <c r="J10" s="34" t="str">
        <f t="shared" si="1"/>
        <v>يحتاج اهتمام 🔴</v>
      </c>
      <c r="K10" s="35" t="s">
        <v>798</v>
      </c>
    </row>
    <row r="11" spans="1:11" ht="27.75" customHeight="1" x14ac:dyDescent="0.4">
      <c r="A11" s="24" t="s">
        <v>38</v>
      </c>
      <c r="B11" s="5">
        <f>COUNTIF('قاعدة بيانات المهام'!C:C,A11)</f>
        <v>36</v>
      </c>
      <c r="C11" s="5">
        <f>COUNTIFS('قاعدة بيانات المهام'!C:C,A11,'قاعدة بيانات المهام'!G:G,"مكتملة")</f>
        <v>24</v>
      </c>
      <c r="D11" s="5">
        <f>COUNTIFS('قاعدة بيانات المهام'!C:C,A11,'قاعدة بيانات المهام'!G:G,"جاري العمل")</f>
        <v>12</v>
      </c>
      <c r="E11" s="13">
        <f>COUNTIFS('قاعدة بيانات المهام'!C:C,A11,'قاعدة بيانات المهام'!G:G,"لم تبدأ")</f>
        <v>0</v>
      </c>
      <c r="F11" s="25">
        <f t="shared" si="0"/>
        <v>0.66666666666666663</v>
      </c>
      <c r="G11" s="26">
        <f>IFERROR(AVERAGEIF('قاعدة بيانات المهام'!C:C,A11,'قاعدة بيانات المهام'!H:H),0)</f>
        <v>0.82619047619047625</v>
      </c>
      <c r="H11" s="5">
        <f>COUNTIFS('قاعدة بيانات المهام'!C:C,A11,'قاعدة بيانات المهام'!P:P,"2026 Tasks")</f>
        <v>7</v>
      </c>
      <c r="I11" s="27">
        <f ca="1">COUNTIFS('قاعدة بيانات المهام'!C:C,A11,'قاعدة بيانات المهام'!P:P,"2026 Tasks",'قاعدة بيانات المهام'!G:G,"&lt;&gt;مكتملة",'قاعدة بيانات المهام'!J:J,"&lt;"&amp;TODAY(),'قاعدة بيانات المهام'!J:J,"&lt;&gt;")</f>
        <v>0</v>
      </c>
      <c r="J11" s="28" t="str">
        <f t="shared" si="1"/>
        <v>جيد ✅</v>
      </c>
      <c r="K11" s="29" t="s">
        <v>799</v>
      </c>
    </row>
    <row r="12" spans="1:11" ht="27.75" customHeight="1" x14ac:dyDescent="0.4">
      <c r="A12" s="30" t="s">
        <v>210</v>
      </c>
      <c r="B12" s="13">
        <f>COUNTIF('قاعدة بيانات المهام'!C:C,A12)</f>
        <v>6</v>
      </c>
      <c r="C12" s="13">
        <f>COUNTIFS('قاعدة بيانات المهام'!C:C,A12,'قاعدة بيانات المهام'!G:G,"مكتملة")</f>
        <v>2</v>
      </c>
      <c r="D12" s="13">
        <f>COUNTIFS('قاعدة بيانات المهام'!C:C,A12,'قاعدة بيانات المهام'!G:G,"جاري العمل")</f>
        <v>4</v>
      </c>
      <c r="E12" s="13">
        <f>COUNTIFS('قاعدة بيانات المهام'!C:C,A12,'قاعدة بيانات المهام'!G:G,"لم تبدأ")</f>
        <v>0</v>
      </c>
      <c r="F12" s="31">
        <f t="shared" si="0"/>
        <v>0.33333333333333331</v>
      </c>
      <c r="G12" s="32">
        <f>IFERROR(AVERAGEIF('قاعدة بيانات المهام'!C:C,A12,'قاعدة بيانات المهام'!H:H),0)</f>
        <v>1</v>
      </c>
      <c r="H12" s="13">
        <f>COUNTIFS('قاعدة بيانات المهام'!C:C,A12,'قاعدة بيانات المهام'!P:P,"2026 Tasks")</f>
        <v>0</v>
      </c>
      <c r="I12" s="33">
        <f ca="1">COUNTIFS('قاعدة بيانات المهام'!C:C,A12,'قاعدة بيانات المهام'!P:P,"2026 Tasks",'قاعدة بيانات المهام'!G:G,"&lt;&gt;مكتملة",'قاعدة بيانات المهام'!J:J,"&lt;"&amp;TODAY(),'قاعدة بيانات المهام'!J:J,"&lt;&gt;")</f>
        <v>0</v>
      </c>
      <c r="J12" s="34" t="str">
        <f t="shared" si="1"/>
        <v>يحتاج اهتمام 🔴</v>
      </c>
      <c r="K12" s="35" t="s">
        <v>798</v>
      </c>
    </row>
    <row r="13" spans="1:11" ht="27.75" customHeight="1" x14ac:dyDescent="0.4">
      <c r="A13" s="24" t="s">
        <v>279</v>
      </c>
      <c r="B13" s="5">
        <f>COUNTIF('قاعدة بيانات المهام'!C:C,A13)</f>
        <v>20</v>
      </c>
      <c r="C13" s="5">
        <f>COUNTIFS('قاعدة بيانات المهام'!C:C,A13,'قاعدة بيانات المهام'!G:G,"مكتملة")</f>
        <v>7</v>
      </c>
      <c r="D13" s="5">
        <f>COUNTIFS('قاعدة بيانات المهام'!C:C,A13,'قاعدة بيانات المهام'!G:G,"جاري العمل")</f>
        <v>13</v>
      </c>
      <c r="E13" s="13">
        <f>COUNTIFS('قاعدة بيانات المهام'!C:C,A13,'قاعدة بيانات المهام'!G:G,"لم تبدأ")</f>
        <v>0</v>
      </c>
      <c r="F13" s="25">
        <f t="shared" si="0"/>
        <v>0.35</v>
      </c>
      <c r="G13" s="26">
        <f>IFERROR(AVERAGEIF('قاعدة بيانات المهام'!C:C,A13,'قاعدة بيانات المهام'!H:H),0)</f>
        <v>0.70714285714285707</v>
      </c>
      <c r="H13" s="5">
        <f>COUNTIFS('قاعدة بيانات المهام'!C:C,A13,'قاعدة بيانات المهام'!P:P,"2026 Tasks")</f>
        <v>0</v>
      </c>
      <c r="I13" s="27">
        <f ca="1">COUNTIFS('قاعدة بيانات المهام'!C:C,A13,'قاعدة بيانات المهام'!P:P,"2026 Tasks",'قاعدة بيانات المهام'!G:G,"&lt;&gt;مكتملة",'قاعدة بيانات المهام'!J:J,"&lt;"&amp;TODAY(),'قاعدة بيانات المهام'!J:J,"&lt;&gt;")</f>
        <v>0</v>
      </c>
      <c r="J13" s="28" t="str">
        <f t="shared" si="1"/>
        <v>متوسط ⚠️</v>
      </c>
      <c r="K13" s="29" t="s">
        <v>798</v>
      </c>
    </row>
    <row r="14" spans="1:11" ht="27.75" customHeight="1" x14ac:dyDescent="0.4">
      <c r="A14" s="30" t="s">
        <v>106</v>
      </c>
      <c r="B14" s="13">
        <f>COUNTIF('قاعدة بيانات المهام'!C:C,A14)</f>
        <v>4</v>
      </c>
      <c r="C14" s="13">
        <f>COUNTIFS('قاعدة بيانات المهام'!C:C,A14,'قاعدة بيانات المهام'!G:G,"مكتملة")</f>
        <v>1</v>
      </c>
      <c r="D14" s="13">
        <f>COUNTIFS('قاعدة بيانات المهام'!C:C,A14,'قاعدة بيانات المهام'!G:G,"جاري العمل")</f>
        <v>3</v>
      </c>
      <c r="E14" s="13">
        <f>COUNTIFS('قاعدة بيانات المهام'!C:C,A14,'قاعدة بيانات المهام'!G:G,"لم تبدأ")</f>
        <v>0</v>
      </c>
      <c r="F14" s="31">
        <f t="shared" si="0"/>
        <v>0.25</v>
      </c>
      <c r="G14" s="32">
        <f>IFERROR(AVERAGEIF('قاعدة بيانات المهام'!C:C,A14,'قاعدة بيانات المهام'!H:H),0)</f>
        <v>0.97499999999999998</v>
      </c>
      <c r="H14" s="13">
        <f>COUNTIFS('قاعدة بيانات المهام'!C:C,A14,'قاعدة بيانات المهام'!P:P,"2026 Tasks")</f>
        <v>1</v>
      </c>
      <c r="I14" s="33">
        <f ca="1">COUNTIFS('قاعدة بيانات المهام'!C:C,A14,'قاعدة بيانات المهام'!P:P,"2026 Tasks",'قاعدة بيانات المهام'!G:G,"&lt;&gt;مكتملة",'قاعدة بيانات المهام'!J:J,"&lt;"&amp;TODAY(),'قاعدة بيانات المهام'!J:J,"&lt;&gt;")</f>
        <v>0</v>
      </c>
      <c r="J14" s="34" t="str">
        <f t="shared" si="1"/>
        <v>يحتاج اهتمام 🔴</v>
      </c>
      <c r="K14" s="35" t="s">
        <v>798</v>
      </c>
    </row>
    <row r="15" spans="1:11" ht="27.75" customHeight="1" x14ac:dyDescent="0.4">
      <c r="A15" s="24" t="s">
        <v>273</v>
      </c>
      <c r="B15" s="5">
        <f>COUNTIF('قاعدة بيانات المهام'!C:C,A15)</f>
        <v>3</v>
      </c>
      <c r="C15" s="5">
        <f>COUNTIFS('قاعدة بيانات المهام'!C:C,A15,'قاعدة بيانات المهام'!G:G,"مكتملة")</f>
        <v>3</v>
      </c>
      <c r="D15" s="5">
        <f>COUNTIFS('قاعدة بيانات المهام'!C:C,A15,'قاعدة بيانات المهام'!G:G,"جاري العمل")</f>
        <v>0</v>
      </c>
      <c r="E15" s="13">
        <f>COUNTIFS('قاعدة بيانات المهام'!C:C,A15,'قاعدة بيانات المهام'!G:G,"لم تبدأ")</f>
        <v>0</v>
      </c>
      <c r="F15" s="25">
        <f t="shared" si="0"/>
        <v>1</v>
      </c>
      <c r="G15" s="26">
        <f>IFERROR(AVERAGEIF('قاعدة بيانات المهام'!C:C,A15,'قاعدة بيانات المهام'!H:H),0)</f>
        <v>0</v>
      </c>
      <c r="H15" s="5">
        <f>COUNTIFS('قاعدة بيانات المهام'!C:C,A15,'قاعدة بيانات المهام'!P:P,"2026 Tasks")</f>
        <v>0</v>
      </c>
      <c r="I15" s="27">
        <f ca="1">COUNTIFS('قاعدة بيانات المهام'!C:C,A15,'قاعدة بيانات المهام'!P:P,"2026 Tasks",'قاعدة بيانات المهام'!G:G,"&lt;&gt;مكتملة",'قاعدة بيانات المهام'!J:J,"&lt;"&amp;TODAY(),'قاعدة بيانات المهام'!J:J,"&lt;&gt;")</f>
        <v>0</v>
      </c>
      <c r="J15" s="28" t="str">
        <f t="shared" si="1"/>
        <v>ممتاز 🏆</v>
      </c>
      <c r="K15" s="29" t="s">
        <v>800</v>
      </c>
    </row>
    <row r="16" spans="1:11" ht="27.75" customHeight="1" x14ac:dyDescent="0.4">
      <c r="A16" s="30" t="s">
        <v>18</v>
      </c>
      <c r="B16" s="13">
        <f>COUNTIF('قاعدة بيانات المهام'!C:C,A16)</f>
        <v>10</v>
      </c>
      <c r="C16" s="13">
        <f>COUNTIFS('قاعدة بيانات المهام'!C:C,A16,'قاعدة بيانات المهام'!G:G,"مكتملة")</f>
        <v>5</v>
      </c>
      <c r="D16" s="13">
        <f>COUNTIFS('قاعدة بيانات المهام'!C:C,A16,'قاعدة بيانات المهام'!G:G,"جاري العمل")</f>
        <v>5</v>
      </c>
      <c r="E16" s="13">
        <f>COUNTIFS('قاعدة بيانات المهام'!C:C,A16,'قاعدة بيانات المهام'!G:G,"لم تبدأ")</f>
        <v>0</v>
      </c>
      <c r="F16" s="31">
        <f t="shared" si="0"/>
        <v>0.5</v>
      </c>
      <c r="G16" s="32">
        <f>IFERROR(AVERAGEIF('قاعدة بيانات المهام'!C:C,A16,'قاعدة بيانات المهام'!H:H),0)</f>
        <v>0.86</v>
      </c>
      <c r="H16" s="13">
        <f>COUNTIFS('قاعدة بيانات المهام'!C:C,A16,'قاعدة بيانات المهام'!P:P,"2026 Tasks")</f>
        <v>1</v>
      </c>
      <c r="I16" s="33">
        <f ca="1">COUNTIFS('قاعدة بيانات المهام'!C:C,A16,'قاعدة بيانات المهام'!P:P,"2026 Tasks",'قاعدة بيانات المهام'!G:G,"&lt;&gt;مكتملة",'قاعدة بيانات المهام'!J:J,"&lt;"&amp;TODAY(),'قاعدة بيانات المهام'!J:J,"&lt;&gt;")</f>
        <v>0</v>
      </c>
      <c r="J16" s="34" t="str">
        <f t="shared" si="1"/>
        <v>متوسط ⚠️</v>
      </c>
      <c r="K16" s="35" t="s">
        <v>798</v>
      </c>
    </row>
    <row r="17" spans="1:11" ht="27.75" customHeight="1" x14ac:dyDescent="0.4">
      <c r="A17" s="24" t="s">
        <v>176</v>
      </c>
      <c r="B17" s="5">
        <f>COUNTIF('قاعدة بيانات المهام'!C:C,A17)</f>
        <v>6</v>
      </c>
      <c r="C17" s="5">
        <f>COUNTIFS('قاعدة بيانات المهام'!C:C,A17,'قاعدة بيانات المهام'!G:G,"مكتملة")</f>
        <v>2</v>
      </c>
      <c r="D17" s="5">
        <f>COUNTIFS('قاعدة بيانات المهام'!C:C,A17,'قاعدة بيانات المهام'!G:G,"جاري العمل")</f>
        <v>4</v>
      </c>
      <c r="E17" s="13">
        <f>COUNTIFS('قاعدة بيانات المهام'!C:C,A17,'قاعدة بيانات المهام'!G:G,"لم تبدأ")</f>
        <v>0</v>
      </c>
      <c r="F17" s="25">
        <f t="shared" si="0"/>
        <v>0.33333333333333331</v>
      </c>
      <c r="G17" s="26">
        <f>IFERROR(AVERAGEIF('قاعدة بيانات المهام'!C:C,A17,'قاعدة بيانات المهام'!H:H),0)</f>
        <v>0.7416666666666667</v>
      </c>
      <c r="H17" s="5">
        <f>COUNTIFS('قاعدة بيانات المهام'!C:C,A17,'قاعدة بيانات المهام'!P:P,"2026 Tasks")</f>
        <v>0</v>
      </c>
      <c r="I17" s="27">
        <f ca="1">COUNTIFS('قاعدة بيانات المهام'!C:C,A17,'قاعدة بيانات المهام'!P:P,"2026 Tasks",'قاعدة بيانات المهام'!G:G,"&lt;&gt;مكتملة",'قاعدة بيانات المهام'!J:J,"&lt;"&amp;TODAY(),'قاعدة بيانات المهام'!J:J,"&lt;&gt;")</f>
        <v>0</v>
      </c>
      <c r="J17" s="28" t="str">
        <f t="shared" si="1"/>
        <v>يحتاج اهتمام 🔴</v>
      </c>
      <c r="K17" s="29" t="s">
        <v>798</v>
      </c>
    </row>
    <row r="18" spans="1:11" ht="27.75" customHeight="1" x14ac:dyDescent="0.4">
      <c r="A18" s="30" t="s">
        <v>538</v>
      </c>
      <c r="B18" s="13">
        <f>COUNTIF('قاعدة بيانات المهام'!C:C,A18)</f>
        <v>7</v>
      </c>
      <c r="C18" s="13">
        <f>COUNTIFS('قاعدة بيانات المهام'!C:C,A18,'قاعدة بيانات المهام'!G:G,"مكتملة")</f>
        <v>7</v>
      </c>
      <c r="D18" s="13">
        <f>COUNTIFS('قاعدة بيانات المهام'!C:C,A18,'قاعدة بيانات المهام'!G:G,"جاري العمل")</f>
        <v>0</v>
      </c>
      <c r="E18" s="13">
        <f>COUNTIFS('قاعدة بيانات المهام'!C:C,A18,'قاعدة بيانات المهام'!G:G,"لم تبدأ")</f>
        <v>0</v>
      </c>
      <c r="F18" s="31">
        <f t="shared" si="0"/>
        <v>1</v>
      </c>
      <c r="G18" s="32">
        <f>IFERROR(AVERAGEIF('قاعدة بيانات المهام'!C:C,A18,'قاعدة بيانات المهام'!H:H),0)</f>
        <v>1</v>
      </c>
      <c r="H18" s="13">
        <f>COUNTIFS('قاعدة بيانات المهام'!C:C,A18,'قاعدة بيانات المهام'!P:P,"2026 Tasks")</f>
        <v>0</v>
      </c>
      <c r="I18" s="33">
        <f ca="1">COUNTIFS('قاعدة بيانات المهام'!C:C,A18,'قاعدة بيانات المهام'!P:P,"2026 Tasks",'قاعدة بيانات المهام'!G:G,"&lt;&gt;مكتملة",'قاعدة بيانات المهام'!J:J,"&lt;"&amp;TODAY(),'قاعدة بيانات المهام'!J:J,"&lt;&gt;")</f>
        <v>0</v>
      </c>
      <c r="J18" s="34" t="str">
        <f t="shared" si="1"/>
        <v>ممتاز 🏆</v>
      </c>
      <c r="K18" s="35" t="s">
        <v>800</v>
      </c>
    </row>
    <row r="19" spans="1:11" ht="31.5" customHeight="1" x14ac:dyDescent="0.4">
      <c r="A19" s="36" t="s">
        <v>801</v>
      </c>
      <c r="B19" s="36">
        <f>SUM(B3:B18)</f>
        <v>411</v>
      </c>
      <c r="C19" s="36">
        <f>SUM(C3:C18)</f>
        <v>243</v>
      </c>
      <c r="D19" s="36">
        <f>SUM(D3:D18)</f>
        <v>168</v>
      </c>
      <c r="E19" s="36">
        <f>SUM(E3:E18)</f>
        <v>0</v>
      </c>
      <c r="F19" s="37">
        <f>IFERROR(C19/B19,0)</f>
        <v>0.59124087591240881</v>
      </c>
      <c r="G19" s="37">
        <f>IFERROR(AVERAGE(G3:G18),0)</f>
        <v>0.83481152907532374</v>
      </c>
      <c r="H19" s="36">
        <f>SUM(H3:H18)</f>
        <v>92</v>
      </c>
      <c r="I19" s="36">
        <f ca="1">SUM(I3:I18)</f>
        <v>10</v>
      </c>
      <c r="J19" s="36"/>
      <c r="K19" s="36"/>
    </row>
  </sheetData>
  <mergeCells count="1">
    <mergeCell ref="A1:K1"/>
  </mergeCells>
  <conditionalFormatting sqref="F3:F18">
    <cfRule type="expression" dxfId="9" priority="1">
      <formula>F3&gt;=0.75</formula>
    </cfRule>
    <cfRule type="expression" dxfId="8" priority="2">
      <formula>AND(F3&gt;=0.55,F3&lt;0.75)</formula>
    </cfRule>
    <cfRule type="expression" dxfId="7" priority="3">
      <formula>AND(F3&gt;=0.35,F3&lt;0.55)</formula>
    </cfRule>
    <cfRule type="expression" dxfId="6" priority="4">
      <formula>F3&lt;0.35</formula>
    </cfRule>
  </conditionalFormatting>
  <conditionalFormatting sqref="I3:I18">
    <cfRule type="expression" dxfId="5" priority="8">
      <formula>I3&gt;0</formula>
    </cfRule>
  </conditionalFormatting>
  <conditionalFormatting sqref="J3:J18">
    <cfRule type="expression" dxfId="4" priority="5">
      <formula>F3&gt;=0.75</formula>
    </cfRule>
    <cfRule type="expression" dxfId="3" priority="6">
      <formula>AND(F3&gt;=0.35,F3&lt;0.75)</formula>
    </cfRule>
    <cfRule type="expression" dxfId="2" priority="7">
      <formula>F3&lt;0.35</formula>
    </cfRule>
  </conditionalFormatting>
  <pageMargins left="0.75" right="0.75" top="1" bottom="1" header="0.511811023622047" footer="0.511811023622047"/>
  <pageSetup paperSize="9" orientation="portrait" horizontalDpi="300" verticalDpi="300"/>
  <headerFooter>
    <oddHeader>&amp;C&amp;"Aptos"&amp;12&amp;K0000FF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D6608"/>
  </sheetPr>
  <dimension ref="A1:B25"/>
  <sheetViews>
    <sheetView rightToLeft="1" topLeftCell="A11" zoomScaleNormal="100" workbookViewId="0">
      <selection activeCell="B37" sqref="B37"/>
    </sheetView>
  </sheetViews>
  <sheetFormatPr defaultColWidth="8.6640625" defaultRowHeight="14.4" x14ac:dyDescent="0.3"/>
  <cols>
    <col min="1" max="1" width="28" customWidth="1"/>
    <col min="2" max="2" width="55" customWidth="1"/>
  </cols>
  <sheetData>
    <row r="1" spans="1:2" ht="34.5" customHeight="1" x14ac:dyDescent="0.3">
      <c r="A1" s="65" t="s">
        <v>802</v>
      </c>
      <c r="B1" s="65"/>
    </row>
    <row r="2" spans="1:2" ht="24" customHeight="1" x14ac:dyDescent="0.3">
      <c r="A2" s="2"/>
      <c r="B2" s="2"/>
    </row>
    <row r="3" spans="1:2" ht="24" customHeight="1" x14ac:dyDescent="0.3">
      <c r="A3" s="66" t="s">
        <v>803</v>
      </c>
      <c r="B3" s="66"/>
    </row>
    <row r="4" spans="1:2" ht="24" customHeight="1" x14ac:dyDescent="0.3">
      <c r="A4" s="3" t="s">
        <v>804</v>
      </c>
      <c r="B4" s="1" t="s">
        <v>805</v>
      </c>
    </row>
    <row r="5" spans="1:2" ht="24" customHeight="1" x14ac:dyDescent="0.3">
      <c r="A5" s="3" t="s">
        <v>806</v>
      </c>
      <c r="B5" s="1" t="s">
        <v>807</v>
      </c>
    </row>
    <row r="6" spans="1:2" ht="24" customHeight="1" x14ac:dyDescent="0.3">
      <c r="A6" s="3" t="s">
        <v>808</v>
      </c>
      <c r="B6" s="1" t="s">
        <v>809</v>
      </c>
    </row>
    <row r="7" spans="1:2" ht="24" customHeight="1" x14ac:dyDescent="0.3">
      <c r="A7" s="3" t="s">
        <v>810</v>
      </c>
      <c r="B7" s="1" t="s">
        <v>811</v>
      </c>
    </row>
    <row r="8" spans="1:2" ht="24" customHeight="1" x14ac:dyDescent="0.3">
      <c r="A8" s="2"/>
      <c r="B8" s="2"/>
    </row>
    <row r="9" spans="1:2" ht="24" customHeight="1" x14ac:dyDescent="0.3">
      <c r="A9" s="66" t="s">
        <v>812</v>
      </c>
      <c r="B9" s="66"/>
    </row>
    <row r="10" spans="1:2" ht="24" customHeight="1" x14ac:dyDescent="0.3">
      <c r="A10" s="3" t="s">
        <v>813</v>
      </c>
      <c r="B10" s="1" t="s">
        <v>814</v>
      </c>
    </row>
    <row r="11" spans="1:2" ht="24" customHeight="1" x14ac:dyDescent="0.3">
      <c r="A11" s="3" t="s">
        <v>815</v>
      </c>
      <c r="B11" s="1" t="s">
        <v>816</v>
      </c>
    </row>
    <row r="12" spans="1:2" ht="24" customHeight="1" x14ac:dyDescent="0.3">
      <c r="A12" s="3" t="s">
        <v>817</v>
      </c>
      <c r="B12" s="1" t="s">
        <v>818</v>
      </c>
    </row>
    <row r="13" spans="1:2" ht="24" customHeight="1" x14ac:dyDescent="0.3">
      <c r="A13" s="2"/>
      <c r="B13" s="2"/>
    </row>
    <row r="14" spans="1:2" ht="24" customHeight="1" x14ac:dyDescent="0.3">
      <c r="A14" s="66" t="s">
        <v>819</v>
      </c>
      <c r="B14" s="66"/>
    </row>
    <row r="15" spans="1:2" ht="24" customHeight="1" x14ac:dyDescent="0.3">
      <c r="A15" s="3" t="s">
        <v>820</v>
      </c>
      <c r="B15" s="1" t="s">
        <v>821</v>
      </c>
    </row>
    <row r="16" spans="1:2" ht="24" customHeight="1" x14ac:dyDescent="0.3">
      <c r="A16" s="3" t="s">
        <v>822</v>
      </c>
      <c r="B16" s="1" t="s">
        <v>823</v>
      </c>
    </row>
    <row r="17" spans="1:2" ht="24" customHeight="1" x14ac:dyDescent="0.3">
      <c r="A17" s="3" t="s">
        <v>824</v>
      </c>
      <c r="B17" s="1" t="s">
        <v>825</v>
      </c>
    </row>
    <row r="18" spans="1:2" ht="24" customHeight="1" x14ac:dyDescent="0.3">
      <c r="A18" s="3" t="s">
        <v>826</v>
      </c>
      <c r="B18" s="1" t="s">
        <v>827</v>
      </c>
    </row>
    <row r="19" spans="1:2" ht="24" customHeight="1" x14ac:dyDescent="0.3">
      <c r="A19" s="3" t="s">
        <v>828</v>
      </c>
      <c r="B19" s="1" t="s">
        <v>829</v>
      </c>
    </row>
    <row r="20" spans="1:2" ht="24" customHeight="1" x14ac:dyDescent="0.3">
      <c r="A20" s="2"/>
      <c r="B20" s="2"/>
    </row>
    <row r="21" spans="1:2" ht="24" customHeight="1" x14ac:dyDescent="0.3">
      <c r="A21" s="66" t="s">
        <v>830</v>
      </c>
      <c r="B21" s="66"/>
    </row>
    <row r="22" spans="1:2" ht="24" customHeight="1" x14ac:dyDescent="0.3">
      <c r="A22" s="3" t="s">
        <v>831</v>
      </c>
      <c r="B22" s="1" t="s">
        <v>832</v>
      </c>
    </row>
    <row r="23" spans="1:2" ht="24" customHeight="1" x14ac:dyDescent="0.3">
      <c r="A23" s="3" t="s">
        <v>833</v>
      </c>
      <c r="B23" s="1" t="s">
        <v>834</v>
      </c>
    </row>
    <row r="24" spans="1:2" ht="24" customHeight="1" x14ac:dyDescent="0.3">
      <c r="A24" s="3" t="s">
        <v>835</v>
      </c>
      <c r="B24" s="1" t="s">
        <v>836</v>
      </c>
    </row>
    <row r="25" spans="1:2" ht="24" customHeight="1" x14ac:dyDescent="0.3">
      <c r="A25" s="3" t="s">
        <v>837</v>
      </c>
      <c r="B25" s="1" t="s">
        <v>838</v>
      </c>
    </row>
  </sheetData>
  <mergeCells count="5">
    <mergeCell ref="A1:B1"/>
    <mergeCell ref="A3:B3"/>
    <mergeCell ref="A9:B9"/>
    <mergeCell ref="A14:B14"/>
    <mergeCell ref="A21:B21"/>
  </mergeCells>
  <pageMargins left="0.75" right="0.75" top="1" bottom="1" header="0.511811023622047" footer="0.511811023622047"/>
  <pageSetup paperSize="9" orientation="portrait" horizontalDpi="300" verticalDpi="300"/>
  <headerFooter>
    <oddHeader>&amp;C&amp;"Aptos"&amp;12&amp;K0000FF Internal&amp;1#_x000D_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80352A10BADB4AB73DAB4401E1E300" ma:contentTypeVersion="22" ma:contentTypeDescription="Create a new document." ma:contentTypeScope="" ma:versionID="bca7ac95882d7e79e91f8568215a10de">
  <xsd:schema xmlns:xsd="http://www.w3.org/2001/XMLSchema" xmlns:xs="http://www.w3.org/2001/XMLSchema" xmlns:p="http://schemas.microsoft.com/office/2006/metadata/properties" xmlns:ns1="http://schemas.microsoft.com/sharepoint/v3" xmlns:ns3="8922d8bd-0f63-4458-8813-90a8b72cfcb7" xmlns:ns4="d694983a-8a60-499f-864f-01854f516cf7" targetNamespace="http://schemas.microsoft.com/office/2006/metadata/properties" ma:root="true" ma:fieldsID="25827b334d65188c169f390b9bb69b99" ns1:_="" ns3:_="" ns4:_="">
    <xsd:import namespace="http://schemas.microsoft.com/sharepoint/v3"/>
    <xsd:import namespace="8922d8bd-0f63-4458-8813-90a8b72cfcb7"/>
    <xsd:import namespace="d694983a-8a60-499f-864f-01854f516cf7"/>
    <xsd:element name="properties">
      <xsd:complexType>
        <xsd:sequence>
          <xsd:element name="documentManagement">
            <xsd:complexType>
              <xsd:all>
                <xsd:element ref="ns3:MigrationWizId" minOccurs="0"/>
                <xsd:element ref="ns3:MigrationWizIdPermissions" minOccurs="0"/>
                <xsd:element ref="ns3:MigrationWizIdVersion"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22d8bd-0f63-4458-8813-90a8b72cfcb7"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activity" ma:index="19"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94983a-8a60-499f-864f-01854f516cf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SharingHintHash" ma:index="2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Permissions xmlns="8922d8bd-0f63-4458-8813-90a8b72cfcb7" xsi:nil="true"/>
    <_ip_UnifiedCompliancePolicyUIAction xmlns="http://schemas.microsoft.com/sharepoint/v3" xsi:nil="true"/>
    <_activity xmlns="8922d8bd-0f63-4458-8813-90a8b72cfcb7" xsi:nil="true"/>
    <_ip_UnifiedCompliancePolicyProperties xmlns="http://schemas.microsoft.com/sharepoint/v3" xsi:nil="true"/>
    <MigrationWizId xmlns="8922d8bd-0f63-4458-8813-90a8b72cfcb7" xsi:nil="true"/>
    <MigrationWizIdVersion xmlns="8922d8bd-0f63-4458-8813-90a8b72cfcb7" xsi:nil="true"/>
  </documentManagement>
</p:properties>
</file>

<file path=customXml/itemProps1.xml><?xml version="1.0" encoding="utf-8"?>
<ds:datastoreItem xmlns:ds="http://schemas.openxmlformats.org/officeDocument/2006/customXml" ds:itemID="{1C740C20-0E1B-43D0-AF42-A9CECDEAE6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922d8bd-0f63-4458-8813-90a8b72cfcb7"/>
    <ds:schemaRef ds:uri="d694983a-8a60-499f-864f-01854f516c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3A8D37-E33B-4C56-AF4C-8947C3211F37}">
  <ds:schemaRefs>
    <ds:schemaRef ds:uri="http://schemas.microsoft.com/sharepoint/v3/contenttype/forms"/>
  </ds:schemaRefs>
</ds:datastoreItem>
</file>

<file path=customXml/itemProps3.xml><?xml version="1.0" encoding="utf-8"?>
<ds:datastoreItem xmlns:ds="http://schemas.openxmlformats.org/officeDocument/2006/customXml" ds:itemID="{CE722E43-079B-4005-A357-7FBD8C43F3B5}">
  <ds:schemaRefs>
    <ds:schemaRef ds:uri="http://purl.org/dc/elements/1.1/"/>
    <ds:schemaRef ds:uri="http://schemas.microsoft.com/sharepoint/v3"/>
    <ds:schemaRef ds:uri="http://purl.org/dc/dcmitype/"/>
    <ds:schemaRef ds:uri="8922d8bd-0f63-4458-8813-90a8b72cfcb7"/>
    <ds:schemaRef ds:uri="http://schemas.microsoft.com/office/infopath/2007/PartnerControls"/>
    <ds:schemaRef ds:uri="http://schemas.microsoft.com/office/2006/documentManagement/types"/>
    <ds:schemaRef ds:uri="http://www.w3.org/XML/1998/namespace"/>
    <ds:schemaRef ds:uri="d694983a-8a60-499f-864f-01854f516cf7"/>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قاعدة بيانات المهام</vt:lpstr>
      <vt:lpstr>المهام النشطة 2026</vt:lpstr>
      <vt:lpstr>لوحة أداء الأقسام</vt:lpstr>
      <vt:lpstr>دليل الاستخدام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Zaher</cp:lastModifiedBy>
  <cp:revision>0</cp:revision>
  <dcterms:created xsi:type="dcterms:W3CDTF">2026-03-08T08:03:54Z</dcterms:created>
  <dcterms:modified xsi:type="dcterms:W3CDTF">2026-04-02T10:18:05Z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9bf1d4-e59a-47ac-b547-ac93b7d1b323_Enabled">
    <vt:lpwstr>true</vt:lpwstr>
  </property>
  <property fmtid="{D5CDD505-2E9C-101B-9397-08002B2CF9AE}" pid="3" name="MSIP_Label_039bf1d4-e59a-47ac-b547-ac93b7d1b323_SetDate">
    <vt:lpwstr>2026-03-08T08:12:52Z</vt:lpwstr>
  </property>
  <property fmtid="{D5CDD505-2E9C-101B-9397-08002B2CF9AE}" pid="4" name="MSIP_Label_039bf1d4-e59a-47ac-b547-ac93b7d1b323_Method">
    <vt:lpwstr>Privileged</vt:lpwstr>
  </property>
  <property fmtid="{D5CDD505-2E9C-101B-9397-08002B2CF9AE}" pid="5" name="MSIP_Label_039bf1d4-e59a-47ac-b547-ac93b7d1b323_Name">
    <vt:lpwstr>Internal</vt:lpwstr>
  </property>
  <property fmtid="{D5CDD505-2E9C-101B-9397-08002B2CF9AE}" pid="6" name="MSIP_Label_039bf1d4-e59a-47ac-b547-ac93b7d1b323_SiteId">
    <vt:lpwstr>238c54cd-cba0-475a-b3db-53563eec20b9</vt:lpwstr>
  </property>
  <property fmtid="{D5CDD505-2E9C-101B-9397-08002B2CF9AE}" pid="7" name="MSIP_Label_039bf1d4-e59a-47ac-b547-ac93b7d1b323_ActionId">
    <vt:lpwstr>1fe1a603-565d-45d9-9133-ed63ac9092ba</vt:lpwstr>
  </property>
  <property fmtid="{D5CDD505-2E9C-101B-9397-08002B2CF9AE}" pid="8" name="MSIP_Label_039bf1d4-e59a-47ac-b547-ac93b7d1b323_ContentBits">
    <vt:lpwstr>1</vt:lpwstr>
  </property>
  <property fmtid="{D5CDD505-2E9C-101B-9397-08002B2CF9AE}" pid="9" name="MSIP_Label_039bf1d4-e59a-47ac-b547-ac93b7d1b323_Tag">
    <vt:lpwstr>10, 0, 1, 1</vt:lpwstr>
  </property>
  <property fmtid="{D5CDD505-2E9C-101B-9397-08002B2CF9AE}" pid="10" name="ContentTypeId">
    <vt:lpwstr>0x0101000E80352A10BADB4AB73DAB4401E1E300</vt:lpwstr>
  </property>
</Properties>
</file>